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input/"/>
    </mc:Choice>
  </mc:AlternateContent>
  <xr:revisionPtr revIDLastSave="368" documentId="11_F25DC773A252ABDACC10485949585E945ADE58F0" xr6:coauthVersionLast="47" xr6:coauthVersionMax="47" xr10:uidLastSave="{B1BC1358-6400-4665-85E3-F9353679A3E0}"/>
  <bookViews>
    <workbookView xWindow="-28920" yWindow="-120" windowWidth="29040" windowHeight="15720" firstSheet="8" activeTab="9" xr2:uid="{00000000-000D-0000-FFFF-FFFF00000000}"/>
  </bookViews>
  <sheets>
    <sheet name="Kobeissi_FB_H2_CH4_T25_P1450" sheetId="1" r:id="rId1"/>
    <sheet name="Kobeissi_FB_H2_CH4_T25_P1088" sheetId="3" r:id="rId2"/>
    <sheet name="Kobeissi_FB_H2_CH4_T25_P725" sheetId="4" r:id="rId3"/>
    <sheet name="Kobeissi_FB_H2_N2_T25_P1450" sheetId="5" r:id="rId4"/>
    <sheet name="Kobeissi_FB_H2_N2_T25_P1088" sheetId="6" r:id="rId5"/>
    <sheet name="Kobeissi_FB_H2_N2_T25_P725" sheetId="7" r:id="rId6"/>
    <sheet name="Kobeissi_FB_H2_CO2_T25_P1088" sheetId="8" r:id="rId7"/>
    <sheet name="Kobeissi_FB_H2_CO2_T25_P725" sheetId="9" r:id="rId8"/>
    <sheet name="Yang_BE_H2_N2_T25_P725" sheetId="11" r:id="rId9"/>
    <sheet name="GM_BE_H2CO2_T32_P1500_5" sheetId="2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1" l="1"/>
  <c r="D13" i="21"/>
  <c r="C15" i="21"/>
  <c r="D14" i="21"/>
  <c r="C14" i="21"/>
  <c r="C13" i="21"/>
  <c r="D13" i="11"/>
  <c r="C25" i="11"/>
  <c r="D25" i="11"/>
  <c r="C26" i="11"/>
  <c r="D26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C13" i="11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D15" i="9"/>
  <c r="C15" i="9"/>
  <c r="D14" i="9"/>
  <c r="C14" i="9"/>
  <c r="D13" i="9"/>
  <c r="C13" i="9"/>
  <c r="C13" i="8"/>
  <c r="D13" i="8"/>
  <c r="C14" i="8"/>
  <c r="D14" i="8"/>
  <c r="C15" i="8"/>
  <c r="D15" i="8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4" i="1"/>
  <c r="D15" i="1"/>
  <c r="D16" i="1"/>
  <c r="D17" i="1"/>
  <c r="D18" i="1"/>
  <c r="D19" i="1"/>
  <c r="D20" i="1"/>
  <c r="D21" i="1"/>
  <c r="D22" i="1"/>
  <c r="D23" i="1"/>
  <c r="D24" i="1"/>
  <c r="D25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13" i="1"/>
</calcChain>
</file>

<file path=xl/sharedStrings.xml><?xml version="1.0" encoding="utf-8"?>
<sst xmlns="http://schemas.openxmlformats.org/spreadsheetml/2006/main" count="180" uniqueCount="23">
  <si>
    <t>KL/D0</t>
  </si>
  <si>
    <t>Pe</t>
  </si>
  <si>
    <t>Ref</t>
  </si>
  <si>
    <t>CG</t>
  </si>
  <si>
    <t>CH4</t>
  </si>
  <si>
    <t>Sample</t>
  </si>
  <si>
    <t>Fontainebleau</t>
  </si>
  <si>
    <t>T (°C)</t>
  </si>
  <si>
    <t>L (cm)</t>
  </si>
  <si>
    <t>Porosity</t>
  </si>
  <si>
    <t>Dispersivity (cm)</t>
  </si>
  <si>
    <t>P (MPa)</t>
  </si>
  <si>
    <t>D0 (cm2/min)</t>
  </si>
  <si>
    <t>cm/min</t>
  </si>
  <si>
    <t>cm2/min</t>
  </si>
  <si>
    <t>u</t>
  </si>
  <si>
    <t>N2</t>
  </si>
  <si>
    <t>CO2</t>
  </si>
  <si>
    <t>Kobeissi_etal_2024</t>
  </si>
  <si>
    <t>Yang_etal_2023</t>
  </si>
  <si>
    <t>Berea</t>
  </si>
  <si>
    <t>KL</t>
  </si>
  <si>
    <t>GomezMendez_etal_2026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</si>
</sst>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J19" sqref="J19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4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10</v>
      </c>
    </row>
    <row r="9" spans="1:4" x14ac:dyDescent="0.25">
      <c r="A9" t="s">
        <v>12</v>
      </c>
      <c r="B9">
        <v>0.435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8.3680000000000003</v>
      </c>
      <c r="B13">
        <v>0.90800000000000003</v>
      </c>
      <c r="C13">
        <f>B13/$B$9</f>
        <v>2.0873563218390805</v>
      </c>
      <c r="D13">
        <f>$B$7*A13/$B$9</f>
        <v>1.9236781609195404</v>
      </c>
    </row>
    <row r="14" spans="1:4" x14ac:dyDescent="0.25">
      <c r="A14">
        <v>7.5309999999999997</v>
      </c>
      <c r="B14">
        <v>0.8</v>
      </c>
      <c r="C14">
        <f t="shared" ref="C14:C25" si="0">B14/$B$9</f>
        <v>1.8390804597701151</v>
      </c>
      <c r="D14">
        <f t="shared" ref="D14:D25" si="1">$B$7*A14/$B$9</f>
        <v>1.7312643678160919</v>
      </c>
    </row>
    <row r="15" spans="1:4" x14ac:dyDescent="0.25">
      <c r="A15">
        <v>6.6950000000000003</v>
      </c>
      <c r="B15">
        <v>0.67300000000000004</v>
      </c>
      <c r="C15">
        <f t="shared" si="0"/>
        <v>1.5471264367816093</v>
      </c>
      <c r="D15">
        <f t="shared" si="1"/>
        <v>1.5390804597701151</v>
      </c>
    </row>
    <row r="16" spans="1:4" x14ac:dyDescent="0.25">
      <c r="A16">
        <v>5.8579999999999997</v>
      </c>
      <c r="B16">
        <v>0.58399999999999996</v>
      </c>
      <c r="C16">
        <f t="shared" si="0"/>
        <v>1.3425287356321838</v>
      </c>
      <c r="D16">
        <f t="shared" si="1"/>
        <v>1.3466666666666667</v>
      </c>
    </row>
    <row r="17" spans="1:4" x14ac:dyDescent="0.25">
      <c r="A17">
        <v>5.0209999999999999</v>
      </c>
      <c r="B17">
        <v>0.50900000000000001</v>
      </c>
      <c r="C17">
        <f t="shared" si="0"/>
        <v>1.1701149425287356</v>
      </c>
      <c r="D17">
        <f t="shared" si="1"/>
        <v>1.1542528735632185</v>
      </c>
    </row>
    <row r="18" spans="1:4" x14ac:dyDescent="0.25">
      <c r="A18">
        <v>4.1840000000000002</v>
      </c>
      <c r="B18">
        <v>0.42799999999999999</v>
      </c>
      <c r="C18">
        <f t="shared" si="0"/>
        <v>0.98390804597701143</v>
      </c>
      <c r="D18">
        <f t="shared" si="1"/>
        <v>0.96183908045977018</v>
      </c>
    </row>
    <row r="19" spans="1:4" x14ac:dyDescent="0.25">
      <c r="A19">
        <v>3.347</v>
      </c>
      <c r="B19">
        <v>0.35</v>
      </c>
      <c r="C19">
        <f t="shared" si="0"/>
        <v>0.80459770114942519</v>
      </c>
      <c r="D19">
        <f t="shared" si="1"/>
        <v>0.76942528735632187</v>
      </c>
    </row>
    <row r="20" spans="1:4" x14ac:dyDescent="0.25">
      <c r="A20">
        <v>2.5099999999999998</v>
      </c>
      <c r="B20">
        <v>0.28100000000000003</v>
      </c>
      <c r="C20">
        <f t="shared" si="0"/>
        <v>0.64597701149425291</v>
      </c>
      <c r="D20">
        <f t="shared" si="1"/>
        <v>0.57701149425287357</v>
      </c>
    </row>
    <row r="21" spans="1:4" x14ac:dyDescent="0.25">
      <c r="A21">
        <v>1.6739999999999999</v>
      </c>
      <c r="B21">
        <v>0.188</v>
      </c>
      <c r="C21">
        <f t="shared" si="0"/>
        <v>0.43218390804597701</v>
      </c>
      <c r="D21">
        <f t="shared" si="1"/>
        <v>0.38482758620689655</v>
      </c>
    </row>
    <row r="22" spans="1:4" x14ac:dyDescent="0.25">
      <c r="A22">
        <v>0.83699999999999997</v>
      </c>
      <c r="B22">
        <v>0.124</v>
      </c>
      <c r="C22">
        <f t="shared" si="0"/>
        <v>0.28505747126436781</v>
      </c>
      <c r="D22">
        <f t="shared" si="1"/>
        <v>0.19241379310344828</v>
      </c>
    </row>
    <row r="23" spans="1:4" x14ac:dyDescent="0.25">
      <c r="A23">
        <v>0.628</v>
      </c>
      <c r="B23">
        <v>0.10199999999999999</v>
      </c>
      <c r="C23">
        <f t="shared" si="0"/>
        <v>0.23448275862068965</v>
      </c>
      <c r="D23">
        <f t="shared" si="1"/>
        <v>0.14436781609195404</v>
      </c>
    </row>
    <row r="24" spans="1:4" x14ac:dyDescent="0.25">
      <c r="A24">
        <v>0.41799999999999998</v>
      </c>
      <c r="B24">
        <v>9.5000000000000001E-2</v>
      </c>
      <c r="C24">
        <f t="shared" si="0"/>
        <v>0.21839080459770116</v>
      </c>
      <c r="D24">
        <f t="shared" si="1"/>
        <v>9.6091954022988521E-2</v>
      </c>
    </row>
    <row r="25" spans="1:4" x14ac:dyDescent="0.25">
      <c r="A25">
        <v>0.20899999999999999</v>
      </c>
      <c r="B25">
        <v>7.8E-2</v>
      </c>
      <c r="C25">
        <f t="shared" si="0"/>
        <v>0.1793103448275862</v>
      </c>
      <c r="D25">
        <f t="shared" si="1"/>
        <v>4.8045977011494261E-2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7B11-61BA-4343-990A-779EA69AE742}">
  <dimension ref="A1:D25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4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7.5</v>
      </c>
    </row>
    <row r="9" spans="1:4" x14ac:dyDescent="0.25">
      <c r="A9" t="s">
        <v>12</v>
      </c>
      <c r="B9">
        <v>0.57999999999999996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7.5309999999999997</v>
      </c>
      <c r="B13">
        <v>0.83299999999999996</v>
      </c>
      <c r="C13">
        <f>B13/$B$9</f>
        <v>1.4362068965517241</v>
      </c>
      <c r="D13">
        <f>$B$7*A13/$B$9</f>
        <v>1.298448275862069</v>
      </c>
    </row>
    <row r="14" spans="1:4" x14ac:dyDescent="0.25">
      <c r="A14">
        <v>6.6950000000000003</v>
      </c>
      <c r="B14">
        <v>0.74</v>
      </c>
      <c r="C14">
        <f t="shared" ref="C14:C25" si="0">B14/$B$9</f>
        <v>1.2758620689655173</v>
      </c>
      <c r="D14">
        <f t="shared" ref="D14:D25" si="1">$B$7*A14/$B$9</f>
        <v>1.1543103448275864</v>
      </c>
    </row>
    <row r="15" spans="1:4" x14ac:dyDescent="0.25">
      <c r="A15">
        <v>5.8579999999999997</v>
      </c>
      <c r="B15">
        <v>0.63</v>
      </c>
      <c r="C15">
        <f t="shared" si="0"/>
        <v>1.0862068965517242</v>
      </c>
      <c r="D15">
        <f t="shared" si="1"/>
        <v>1.01</v>
      </c>
    </row>
    <row r="16" spans="1:4" x14ac:dyDescent="0.25">
      <c r="A16">
        <v>5.0209999999999999</v>
      </c>
      <c r="B16">
        <v>0.53</v>
      </c>
      <c r="C16">
        <f t="shared" si="0"/>
        <v>0.91379310344827602</v>
      </c>
      <c r="D16">
        <f t="shared" si="1"/>
        <v>0.86568965517241381</v>
      </c>
    </row>
    <row r="17" spans="1:4" x14ac:dyDescent="0.25">
      <c r="A17">
        <v>4.1840000000000002</v>
      </c>
      <c r="B17">
        <v>0.46500000000000002</v>
      </c>
      <c r="C17">
        <f t="shared" si="0"/>
        <v>0.80172413793103459</v>
      </c>
      <c r="D17">
        <f t="shared" si="1"/>
        <v>0.72137931034482772</v>
      </c>
    </row>
    <row r="18" spans="1:4" x14ac:dyDescent="0.25">
      <c r="A18">
        <v>3.347</v>
      </c>
      <c r="B18">
        <v>0.35899999999999999</v>
      </c>
      <c r="C18">
        <f t="shared" si="0"/>
        <v>0.61896551724137938</v>
      </c>
      <c r="D18">
        <f t="shared" si="1"/>
        <v>0.57706896551724141</v>
      </c>
    </row>
    <row r="19" spans="1:4" x14ac:dyDescent="0.25">
      <c r="A19">
        <v>2.5099999999999998</v>
      </c>
      <c r="B19">
        <v>0.3</v>
      </c>
      <c r="C19">
        <f t="shared" si="0"/>
        <v>0.51724137931034486</v>
      </c>
      <c r="D19">
        <f t="shared" si="1"/>
        <v>0.4327586206896552</v>
      </c>
    </row>
    <row r="20" spans="1:4" x14ac:dyDescent="0.25">
      <c r="A20">
        <v>1.6739999999999999</v>
      </c>
      <c r="B20">
        <v>0.215</v>
      </c>
      <c r="C20">
        <f t="shared" si="0"/>
        <v>0.37068965517241381</v>
      </c>
      <c r="D20">
        <f t="shared" si="1"/>
        <v>0.2886206896551724</v>
      </c>
    </row>
    <row r="21" spans="1:4" x14ac:dyDescent="0.25">
      <c r="A21">
        <v>0.83699999999999997</v>
      </c>
      <c r="B21">
        <v>0.14899999999999999</v>
      </c>
      <c r="C21">
        <f t="shared" si="0"/>
        <v>0.25689655172413794</v>
      </c>
      <c r="D21">
        <f t="shared" si="1"/>
        <v>0.1443103448275862</v>
      </c>
    </row>
    <row r="22" spans="1:4" x14ac:dyDescent="0.25">
      <c r="A22">
        <v>0.628</v>
      </c>
      <c r="B22">
        <v>0.13400000000000001</v>
      </c>
      <c r="C22">
        <f t="shared" si="0"/>
        <v>0.23103448275862071</v>
      </c>
      <c r="D22">
        <f t="shared" si="1"/>
        <v>0.10827586206896554</v>
      </c>
    </row>
    <row r="23" spans="1:4" x14ac:dyDescent="0.25">
      <c r="A23">
        <v>0.41799999999999998</v>
      </c>
      <c r="B23">
        <v>0.13300000000000001</v>
      </c>
      <c r="C23">
        <f t="shared" si="0"/>
        <v>0.22931034482758625</v>
      </c>
      <c r="D23">
        <f t="shared" si="1"/>
        <v>7.2068965517241387E-2</v>
      </c>
    </row>
    <row r="24" spans="1:4" x14ac:dyDescent="0.25">
      <c r="A24">
        <v>0.20899999999999999</v>
      </c>
      <c r="B24">
        <v>0.11</v>
      </c>
      <c r="C24">
        <f t="shared" si="0"/>
        <v>0.18965517241379312</v>
      </c>
      <c r="D24">
        <f t="shared" si="1"/>
        <v>3.6034482758620694E-2</v>
      </c>
    </row>
    <row r="25" spans="1:4" x14ac:dyDescent="0.25">
      <c r="A25">
        <v>2.0920000000000001</v>
      </c>
      <c r="B25">
        <v>0.249</v>
      </c>
      <c r="C25">
        <f t="shared" si="0"/>
        <v>0.42931034482758623</v>
      </c>
      <c r="D25">
        <f t="shared" si="1"/>
        <v>0.36068965517241386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2695-DEB5-4C1F-9455-6739E3C55888}">
  <dimension ref="A1:D25"/>
  <sheetViews>
    <sheetView workbookViewId="0">
      <selection activeCell="O22" sqref="O22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4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5</v>
      </c>
    </row>
    <row r="9" spans="1:4" x14ac:dyDescent="0.25">
      <c r="A9" t="s">
        <v>12</v>
      </c>
      <c r="B9">
        <v>0.87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5.8579999999999997</v>
      </c>
      <c r="B13">
        <v>0.68899999999999995</v>
      </c>
      <c r="C13">
        <f>B13/$B$9</f>
        <v>0.7919540229885057</v>
      </c>
      <c r="D13">
        <f>$B$7*A13/$B$9</f>
        <v>0.67333333333333334</v>
      </c>
    </row>
    <row r="14" spans="1:4" x14ac:dyDescent="0.25">
      <c r="A14">
        <v>5.0209999999999999</v>
      </c>
      <c r="B14">
        <v>0.58299999999999996</v>
      </c>
      <c r="C14">
        <f t="shared" ref="C14:C25" si="0">B14/$B$9</f>
        <v>0.6701149425287356</v>
      </c>
      <c r="D14">
        <f t="shared" ref="D14:D25" si="1">$B$7*A14/$B$9</f>
        <v>0.57712643678160924</v>
      </c>
    </row>
    <row r="15" spans="1:4" x14ac:dyDescent="0.25">
      <c r="A15">
        <v>4.1840000000000002</v>
      </c>
      <c r="B15">
        <v>0.505</v>
      </c>
      <c r="C15">
        <f t="shared" si="0"/>
        <v>0.58045977011494254</v>
      </c>
      <c r="D15">
        <f t="shared" si="1"/>
        <v>0.48091954022988509</v>
      </c>
    </row>
    <row r="16" spans="1:4" x14ac:dyDescent="0.25">
      <c r="A16">
        <v>3.347</v>
      </c>
      <c r="B16">
        <v>0.434</v>
      </c>
      <c r="C16">
        <f t="shared" si="0"/>
        <v>0.49885057471264366</v>
      </c>
      <c r="D16">
        <f t="shared" si="1"/>
        <v>0.38471264367816094</v>
      </c>
    </row>
    <row r="17" spans="1:4" x14ac:dyDescent="0.25">
      <c r="A17">
        <v>2.9289999999999998</v>
      </c>
      <c r="B17">
        <v>0.37</v>
      </c>
      <c r="C17">
        <f t="shared" si="0"/>
        <v>0.42528735632183906</v>
      </c>
      <c r="D17">
        <f t="shared" si="1"/>
        <v>0.33666666666666667</v>
      </c>
    </row>
    <row r="18" spans="1:4" x14ac:dyDescent="0.25">
      <c r="A18">
        <v>2.5099999999999998</v>
      </c>
      <c r="B18">
        <v>0.33100000000000002</v>
      </c>
      <c r="C18">
        <f t="shared" si="0"/>
        <v>0.38045977011494253</v>
      </c>
      <c r="D18">
        <f t="shared" si="1"/>
        <v>0.28850574712643678</v>
      </c>
    </row>
    <row r="19" spans="1:4" x14ac:dyDescent="0.25">
      <c r="A19">
        <v>2.0920000000000001</v>
      </c>
      <c r="B19">
        <v>0.311</v>
      </c>
      <c r="C19">
        <f t="shared" si="0"/>
        <v>0.35747126436781607</v>
      </c>
      <c r="D19">
        <f t="shared" si="1"/>
        <v>0.24045977011494254</v>
      </c>
    </row>
    <row r="20" spans="1:4" x14ac:dyDescent="0.25">
      <c r="A20">
        <v>1.6739999999999999</v>
      </c>
      <c r="B20">
        <v>0.247</v>
      </c>
      <c r="C20">
        <f t="shared" si="0"/>
        <v>0.28390804597701147</v>
      </c>
      <c r="D20">
        <f t="shared" si="1"/>
        <v>0.19241379310344828</v>
      </c>
    </row>
    <row r="21" spans="1:4" x14ac:dyDescent="0.25">
      <c r="A21">
        <v>1.2549999999999999</v>
      </c>
      <c r="B21">
        <v>0.224</v>
      </c>
      <c r="C21">
        <f t="shared" si="0"/>
        <v>0.25747126436781609</v>
      </c>
      <c r="D21">
        <f t="shared" si="1"/>
        <v>0.14425287356321839</v>
      </c>
    </row>
    <row r="22" spans="1:4" x14ac:dyDescent="0.25">
      <c r="A22">
        <v>0.83699999999999997</v>
      </c>
      <c r="B22">
        <v>0.192</v>
      </c>
      <c r="C22">
        <f t="shared" si="0"/>
        <v>0.22068965517241379</v>
      </c>
      <c r="D22">
        <f t="shared" si="1"/>
        <v>9.6206896551724139E-2</v>
      </c>
    </row>
    <row r="23" spans="1:4" x14ac:dyDescent="0.25">
      <c r="A23">
        <v>0.628</v>
      </c>
      <c r="B23">
        <v>0.17899999999999999</v>
      </c>
      <c r="C23">
        <f t="shared" si="0"/>
        <v>0.20574712643678161</v>
      </c>
      <c r="D23">
        <f t="shared" si="1"/>
        <v>7.2183908045977019E-2</v>
      </c>
    </row>
    <row r="24" spans="1:4" x14ac:dyDescent="0.25">
      <c r="A24">
        <v>0.41799999999999998</v>
      </c>
      <c r="B24">
        <v>0.17299999999999999</v>
      </c>
      <c r="C24">
        <f t="shared" si="0"/>
        <v>0.19885057471264367</v>
      </c>
      <c r="D24">
        <f t="shared" si="1"/>
        <v>4.8045977011494261E-2</v>
      </c>
    </row>
    <row r="25" spans="1:4" x14ac:dyDescent="0.25">
      <c r="A25">
        <v>0.20899999999999999</v>
      </c>
      <c r="B25">
        <v>0.14000000000000001</v>
      </c>
      <c r="C25">
        <f t="shared" si="0"/>
        <v>0.16091954022988508</v>
      </c>
      <c r="D25">
        <f t="shared" si="1"/>
        <v>2.402298850574713E-2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CD30-DFF9-46D4-B41C-E2D69E5568A2}">
  <dimension ref="A1:D25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16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10</v>
      </c>
    </row>
    <row r="9" spans="1:4" x14ac:dyDescent="0.25">
      <c r="A9" t="s">
        <v>12</v>
      </c>
      <c r="B9">
        <v>0.46200000000000002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8.3680000000000003</v>
      </c>
      <c r="B13">
        <v>0.81200000000000006</v>
      </c>
      <c r="C13">
        <f>B13/$B$9</f>
        <v>1.7575757575757576</v>
      </c>
      <c r="D13">
        <f>$B$7*A13/$B$9</f>
        <v>1.8112554112554113</v>
      </c>
    </row>
    <row r="14" spans="1:4" x14ac:dyDescent="0.25">
      <c r="A14">
        <v>7.5309999999999997</v>
      </c>
      <c r="B14">
        <v>0.72</v>
      </c>
      <c r="C14">
        <f t="shared" ref="C14:C25" si="0">B14/$B$9</f>
        <v>1.5584415584415583</v>
      </c>
      <c r="D14">
        <f t="shared" ref="D14:D25" si="1">$B$7*A14/$B$9</f>
        <v>1.63008658008658</v>
      </c>
    </row>
    <row r="15" spans="1:4" x14ac:dyDescent="0.25">
      <c r="A15">
        <v>6.6950000000000003</v>
      </c>
      <c r="B15">
        <v>0.65400000000000003</v>
      </c>
      <c r="C15">
        <f t="shared" si="0"/>
        <v>1.4155844155844155</v>
      </c>
      <c r="D15">
        <f t="shared" si="1"/>
        <v>1.4491341991341993</v>
      </c>
    </row>
    <row r="16" spans="1:4" x14ac:dyDescent="0.25">
      <c r="A16">
        <v>5.8579999999999997</v>
      </c>
      <c r="B16">
        <v>0.57399999999999995</v>
      </c>
      <c r="C16">
        <f t="shared" si="0"/>
        <v>1.2424242424242422</v>
      </c>
      <c r="D16">
        <f t="shared" si="1"/>
        <v>1.267965367965368</v>
      </c>
    </row>
    <row r="17" spans="1:4" x14ac:dyDescent="0.25">
      <c r="A17">
        <v>5.0209999999999999</v>
      </c>
      <c r="B17">
        <v>0.48</v>
      </c>
      <c r="C17">
        <f t="shared" si="0"/>
        <v>1.0389610389610389</v>
      </c>
      <c r="D17">
        <f t="shared" si="1"/>
        <v>1.0867965367965366</v>
      </c>
    </row>
    <row r="18" spans="1:4" x14ac:dyDescent="0.25">
      <c r="A18">
        <v>4.1840000000000002</v>
      </c>
      <c r="B18">
        <v>0.41</v>
      </c>
      <c r="C18">
        <f t="shared" si="0"/>
        <v>0.88744588744588737</v>
      </c>
      <c r="D18">
        <f t="shared" si="1"/>
        <v>0.90562770562770567</v>
      </c>
    </row>
    <row r="19" spans="1:4" x14ac:dyDescent="0.25">
      <c r="A19">
        <v>3.347</v>
      </c>
      <c r="B19">
        <v>0.34399999999999997</v>
      </c>
      <c r="C19">
        <f t="shared" si="0"/>
        <v>0.74458874458874447</v>
      </c>
      <c r="D19">
        <f t="shared" si="1"/>
        <v>0.72445887445887447</v>
      </c>
    </row>
    <row r="20" spans="1:4" x14ac:dyDescent="0.25">
      <c r="A20">
        <v>2.5099999999999998</v>
      </c>
      <c r="B20">
        <v>0.28499999999999998</v>
      </c>
      <c r="C20">
        <f t="shared" si="0"/>
        <v>0.61688311688311681</v>
      </c>
      <c r="D20">
        <f t="shared" si="1"/>
        <v>0.54329004329004327</v>
      </c>
    </row>
    <row r="21" spans="1:4" x14ac:dyDescent="0.25">
      <c r="A21">
        <v>1.6739999999999999</v>
      </c>
      <c r="B21">
        <v>0.21</v>
      </c>
      <c r="C21">
        <f t="shared" si="0"/>
        <v>0.45454545454545453</v>
      </c>
      <c r="D21">
        <f t="shared" si="1"/>
        <v>0.36233766233766229</v>
      </c>
    </row>
    <row r="22" spans="1:4" x14ac:dyDescent="0.25">
      <c r="A22">
        <v>0.83699999999999997</v>
      </c>
      <c r="B22">
        <v>0.151</v>
      </c>
      <c r="C22">
        <f t="shared" si="0"/>
        <v>0.32683982683982682</v>
      </c>
      <c r="D22">
        <f t="shared" si="1"/>
        <v>0.18116883116883115</v>
      </c>
    </row>
    <row r="23" spans="1:4" x14ac:dyDescent="0.25">
      <c r="A23">
        <v>0.628</v>
      </c>
      <c r="B23">
        <v>0.13</v>
      </c>
      <c r="C23">
        <f t="shared" si="0"/>
        <v>0.2813852813852814</v>
      </c>
      <c r="D23">
        <f t="shared" si="1"/>
        <v>0.13593073593073593</v>
      </c>
    </row>
    <row r="24" spans="1:4" x14ac:dyDescent="0.25">
      <c r="A24">
        <v>0.41799999999999998</v>
      </c>
      <c r="B24">
        <v>0.115</v>
      </c>
      <c r="C24">
        <f t="shared" si="0"/>
        <v>0.24891774891774893</v>
      </c>
      <c r="D24">
        <f t="shared" si="1"/>
        <v>9.0476190476190474E-2</v>
      </c>
    </row>
    <row r="25" spans="1:4" x14ac:dyDescent="0.25">
      <c r="A25">
        <v>0.20899999999999999</v>
      </c>
      <c r="B25">
        <v>0.1</v>
      </c>
      <c r="C25">
        <f t="shared" si="0"/>
        <v>0.21645021645021645</v>
      </c>
      <c r="D25">
        <f t="shared" si="1"/>
        <v>4.5238095238095237E-2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D965-A191-44EF-B626-D5738955DDF0}">
  <dimension ref="A1:D25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16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7.5</v>
      </c>
    </row>
    <row r="9" spans="1:4" x14ac:dyDescent="0.25">
      <c r="A9" t="s">
        <v>12</v>
      </c>
      <c r="B9">
        <v>0.61599999999999999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8.3680000000000003</v>
      </c>
      <c r="B13">
        <v>0.83799999999999997</v>
      </c>
      <c r="C13">
        <f>B13/$B$9</f>
        <v>1.3603896103896103</v>
      </c>
      <c r="D13">
        <f>$B$7*A13/$B$9</f>
        <v>1.3584415584415586</v>
      </c>
    </row>
    <row r="14" spans="1:4" x14ac:dyDescent="0.25">
      <c r="A14">
        <v>7.5309999999999997</v>
      </c>
      <c r="B14">
        <v>0.74</v>
      </c>
      <c r="C14">
        <f t="shared" ref="C14:C25" si="0">B14/$B$9</f>
        <v>1.2012987012987013</v>
      </c>
      <c r="D14">
        <f t="shared" ref="D14:D25" si="1">$B$7*A14/$B$9</f>
        <v>1.222564935064935</v>
      </c>
    </row>
    <row r="15" spans="1:4" x14ac:dyDescent="0.25">
      <c r="A15">
        <v>6.6950000000000003</v>
      </c>
      <c r="B15">
        <v>0.66900000000000004</v>
      </c>
      <c r="C15">
        <f t="shared" si="0"/>
        <v>1.0860389610389611</v>
      </c>
      <c r="D15">
        <f t="shared" si="1"/>
        <v>1.0868506493506496</v>
      </c>
    </row>
    <row r="16" spans="1:4" x14ac:dyDescent="0.25">
      <c r="A16">
        <v>5.8579999999999997</v>
      </c>
      <c r="B16">
        <v>0.58299999999999996</v>
      </c>
      <c r="C16">
        <f t="shared" si="0"/>
        <v>0.9464285714285714</v>
      </c>
      <c r="D16">
        <f t="shared" si="1"/>
        <v>0.95097402597402592</v>
      </c>
    </row>
    <row r="17" spans="1:4" x14ac:dyDescent="0.25">
      <c r="A17">
        <v>5.0209999999999999</v>
      </c>
      <c r="B17">
        <v>0.505</v>
      </c>
      <c r="C17">
        <f t="shared" si="0"/>
        <v>0.81980519480519487</v>
      </c>
      <c r="D17">
        <f t="shared" si="1"/>
        <v>0.8150974025974026</v>
      </c>
    </row>
    <row r="18" spans="1:4" x14ac:dyDescent="0.25">
      <c r="A18">
        <v>4.1840000000000002</v>
      </c>
      <c r="B18">
        <v>0.44400000000000001</v>
      </c>
      <c r="C18">
        <f t="shared" si="0"/>
        <v>0.72077922077922085</v>
      </c>
      <c r="D18">
        <f t="shared" si="1"/>
        <v>0.67922077922077928</v>
      </c>
    </row>
    <row r="19" spans="1:4" x14ac:dyDescent="0.25">
      <c r="A19">
        <v>3.347</v>
      </c>
      <c r="B19">
        <v>0.372</v>
      </c>
      <c r="C19">
        <f t="shared" si="0"/>
        <v>0.60389610389610393</v>
      </c>
      <c r="D19">
        <f t="shared" si="1"/>
        <v>0.54334415584415585</v>
      </c>
    </row>
    <row r="20" spans="1:4" x14ac:dyDescent="0.25">
      <c r="A20">
        <v>2.5099999999999998</v>
      </c>
      <c r="B20">
        <v>0.29899999999999999</v>
      </c>
      <c r="C20">
        <f t="shared" si="0"/>
        <v>0.48538961038961037</v>
      </c>
      <c r="D20">
        <f t="shared" si="1"/>
        <v>0.40746753246753248</v>
      </c>
    </row>
    <row r="21" spans="1:4" x14ac:dyDescent="0.25">
      <c r="A21">
        <v>1.6739999999999999</v>
      </c>
      <c r="B21">
        <v>0.24199999999999999</v>
      </c>
      <c r="C21">
        <f t="shared" si="0"/>
        <v>0.39285714285714285</v>
      </c>
      <c r="D21">
        <f t="shared" si="1"/>
        <v>0.27175324675324675</v>
      </c>
    </row>
    <row r="22" spans="1:4" x14ac:dyDescent="0.25">
      <c r="A22">
        <v>0.83699999999999997</v>
      </c>
      <c r="B22">
        <v>0.17699999999999999</v>
      </c>
      <c r="C22">
        <f t="shared" si="0"/>
        <v>0.28733766233766234</v>
      </c>
      <c r="D22">
        <f t="shared" si="1"/>
        <v>0.13587662337662337</v>
      </c>
    </row>
    <row r="23" spans="1:4" x14ac:dyDescent="0.25">
      <c r="A23">
        <v>0.628</v>
      </c>
      <c r="B23">
        <v>0.161</v>
      </c>
      <c r="C23">
        <f t="shared" si="0"/>
        <v>0.26136363636363635</v>
      </c>
      <c r="D23">
        <f t="shared" si="1"/>
        <v>0.10194805194805197</v>
      </c>
    </row>
    <row r="24" spans="1:4" x14ac:dyDescent="0.25">
      <c r="A24">
        <v>0.41799999999999998</v>
      </c>
      <c r="B24">
        <v>0.14199999999999999</v>
      </c>
      <c r="C24">
        <f t="shared" si="0"/>
        <v>0.23051948051948051</v>
      </c>
      <c r="D24">
        <f t="shared" si="1"/>
        <v>6.7857142857142866E-2</v>
      </c>
    </row>
    <row r="25" spans="1:4" x14ac:dyDescent="0.25">
      <c r="A25">
        <v>0.20899999999999999</v>
      </c>
      <c r="B25">
        <v>0.13</v>
      </c>
      <c r="C25">
        <f t="shared" si="0"/>
        <v>0.21103896103896105</v>
      </c>
      <c r="D25">
        <f t="shared" si="1"/>
        <v>3.3928571428571433E-2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0E87-970C-4464-80DC-21CD570DB714}">
  <dimension ref="A1:D25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16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5</v>
      </c>
    </row>
    <row r="9" spans="1:4" x14ac:dyDescent="0.25">
      <c r="A9" t="s">
        <v>12</v>
      </c>
      <c r="B9">
        <v>0.92400000000000004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8.3680000000000003</v>
      </c>
      <c r="B13">
        <v>0.87</v>
      </c>
      <c r="C13">
        <f>B13/$B$9</f>
        <v>0.94155844155844148</v>
      </c>
      <c r="D13">
        <f>$B$7*A13/$B$9</f>
        <v>0.90562770562770567</v>
      </c>
    </row>
    <row r="14" spans="1:4" x14ac:dyDescent="0.25">
      <c r="A14">
        <v>7.5309999999999997</v>
      </c>
      <c r="B14">
        <v>0.77200000000000002</v>
      </c>
      <c r="C14">
        <f t="shared" ref="C14:C25" si="0">B14/$B$9</f>
        <v>0.83549783549783552</v>
      </c>
      <c r="D14">
        <f t="shared" ref="D14:D25" si="1">$B$7*A14/$B$9</f>
        <v>0.81504329004329001</v>
      </c>
    </row>
    <row r="15" spans="1:4" x14ac:dyDescent="0.25">
      <c r="A15">
        <v>6.6950000000000003</v>
      </c>
      <c r="B15">
        <v>0.71</v>
      </c>
      <c r="C15">
        <f t="shared" si="0"/>
        <v>0.7683982683982683</v>
      </c>
      <c r="D15">
        <f t="shared" si="1"/>
        <v>0.72456709956709964</v>
      </c>
    </row>
    <row r="16" spans="1:4" x14ac:dyDescent="0.25">
      <c r="A16">
        <v>5.8579999999999997</v>
      </c>
      <c r="B16">
        <v>0.64700000000000002</v>
      </c>
      <c r="C16">
        <f t="shared" si="0"/>
        <v>0.70021645021645018</v>
      </c>
      <c r="D16">
        <f t="shared" si="1"/>
        <v>0.63398268398268398</v>
      </c>
    </row>
    <row r="17" spans="1:4" x14ac:dyDescent="0.25">
      <c r="A17">
        <v>5.0209999999999999</v>
      </c>
      <c r="B17">
        <v>0.57999999999999996</v>
      </c>
      <c r="C17">
        <f t="shared" si="0"/>
        <v>0.62770562770562766</v>
      </c>
      <c r="D17">
        <f t="shared" si="1"/>
        <v>0.54339826839826832</v>
      </c>
    </row>
    <row r="18" spans="1:4" x14ac:dyDescent="0.25">
      <c r="A18">
        <v>4.1840000000000002</v>
      </c>
      <c r="B18">
        <v>0.49199999999999999</v>
      </c>
      <c r="C18">
        <f t="shared" si="0"/>
        <v>0.53246753246753242</v>
      </c>
      <c r="D18">
        <f t="shared" si="1"/>
        <v>0.45281385281385284</v>
      </c>
    </row>
    <row r="19" spans="1:4" x14ac:dyDescent="0.25">
      <c r="A19">
        <v>3.347</v>
      </c>
      <c r="B19">
        <v>0.42299999999999999</v>
      </c>
      <c r="C19">
        <f t="shared" si="0"/>
        <v>0.45779220779220775</v>
      </c>
      <c r="D19">
        <f t="shared" si="1"/>
        <v>0.36222943722943723</v>
      </c>
    </row>
    <row r="20" spans="1:4" x14ac:dyDescent="0.25">
      <c r="A20">
        <v>2.5099999999999998</v>
      </c>
      <c r="B20">
        <v>0.34399999999999997</v>
      </c>
      <c r="C20">
        <f t="shared" si="0"/>
        <v>0.37229437229437223</v>
      </c>
      <c r="D20">
        <f t="shared" si="1"/>
        <v>0.27164502164502163</v>
      </c>
    </row>
    <row r="21" spans="1:4" x14ac:dyDescent="0.25">
      <c r="A21">
        <v>1.6739999999999999</v>
      </c>
      <c r="B21">
        <v>0.28999999999999998</v>
      </c>
      <c r="C21">
        <f t="shared" si="0"/>
        <v>0.31385281385281383</v>
      </c>
      <c r="D21">
        <f t="shared" si="1"/>
        <v>0.18116883116883115</v>
      </c>
    </row>
    <row r="22" spans="1:4" x14ac:dyDescent="0.25">
      <c r="A22">
        <v>0.83699999999999997</v>
      </c>
      <c r="B22">
        <v>0.22800000000000001</v>
      </c>
      <c r="C22">
        <f t="shared" si="0"/>
        <v>0.24675324675324675</v>
      </c>
      <c r="D22">
        <f t="shared" si="1"/>
        <v>9.0584415584415573E-2</v>
      </c>
    </row>
    <row r="23" spans="1:4" x14ac:dyDescent="0.25">
      <c r="A23">
        <v>0.628</v>
      </c>
      <c r="B23">
        <v>0.20799999999999999</v>
      </c>
      <c r="C23">
        <f t="shared" si="0"/>
        <v>0.22510822510822509</v>
      </c>
      <c r="D23">
        <f t="shared" si="1"/>
        <v>6.7965367965367965E-2</v>
      </c>
    </row>
    <row r="24" spans="1:4" x14ac:dyDescent="0.25">
      <c r="A24">
        <v>0.41799999999999998</v>
      </c>
      <c r="B24">
        <v>0.19</v>
      </c>
      <c r="C24">
        <f t="shared" si="0"/>
        <v>0.20562770562770563</v>
      </c>
      <c r="D24">
        <f t="shared" si="1"/>
        <v>4.5238095238095237E-2</v>
      </c>
    </row>
    <row r="25" spans="1:4" x14ac:dyDescent="0.25">
      <c r="A25">
        <v>0.20899999999999999</v>
      </c>
      <c r="B25">
        <v>0.17</v>
      </c>
      <c r="C25">
        <f t="shared" si="0"/>
        <v>0.183982683982684</v>
      </c>
      <c r="D25">
        <f t="shared" si="1"/>
        <v>2.2619047619047618E-2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7105-E75A-4887-9BED-937003238E58}">
  <dimension ref="A1:D15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17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7.5</v>
      </c>
    </row>
    <row r="9" spans="1:4" x14ac:dyDescent="0.25">
      <c r="A9" t="s">
        <v>12</v>
      </c>
      <c r="B9">
        <v>0.51200000000000001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1.85</v>
      </c>
      <c r="B13">
        <v>0.45</v>
      </c>
      <c r="C13">
        <f>B13/$B$9</f>
        <v>0.87890625</v>
      </c>
      <c r="D13">
        <f>$B$7*A13/$B$9</f>
        <v>0.36132812500000006</v>
      </c>
    </row>
    <row r="14" spans="1:4" x14ac:dyDescent="0.25">
      <c r="A14">
        <v>3</v>
      </c>
      <c r="B14">
        <v>0.6</v>
      </c>
      <c r="C14">
        <f t="shared" ref="C14:C15" si="0">B14/$B$9</f>
        <v>1.171875</v>
      </c>
      <c r="D14">
        <f t="shared" ref="D14:D15" si="1">$B$7*A14/$B$9</f>
        <v>0.58593750000000011</v>
      </c>
    </row>
    <row r="15" spans="1:4" x14ac:dyDescent="0.25">
      <c r="A15">
        <v>4.25</v>
      </c>
      <c r="B15">
        <v>0.8</v>
      </c>
      <c r="C15">
        <f t="shared" si="0"/>
        <v>1.5625</v>
      </c>
      <c r="D15">
        <f t="shared" si="1"/>
        <v>0.83007812500000011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6648-E8BE-46BE-A305-6B6827CCA731}">
  <dimension ref="A1:D24"/>
  <sheetViews>
    <sheetView workbookViewId="0">
      <selection activeCell="B11" sqref="B11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18</v>
      </c>
    </row>
    <row r="2" spans="1:4" x14ac:dyDescent="0.25">
      <c r="A2" t="s">
        <v>3</v>
      </c>
      <c r="B2" t="s">
        <v>17</v>
      </c>
    </row>
    <row r="3" spans="1:4" x14ac:dyDescent="0.25">
      <c r="A3" t="s">
        <v>5</v>
      </c>
      <c r="B3" t="s">
        <v>6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</v>
      </c>
    </row>
    <row r="6" spans="1:4" x14ac:dyDescent="0.25">
      <c r="A6" t="s">
        <v>9</v>
      </c>
      <c r="B6">
        <v>0.10299999999999999</v>
      </c>
    </row>
    <row r="7" spans="1:4" x14ac:dyDescent="0.25">
      <c r="A7" t="s">
        <v>10</v>
      </c>
      <c r="B7">
        <v>0.1</v>
      </c>
    </row>
    <row r="8" spans="1:4" x14ac:dyDescent="0.25">
      <c r="A8" t="s">
        <v>11</v>
      </c>
      <c r="B8">
        <v>5</v>
      </c>
    </row>
    <row r="9" spans="1:4" x14ac:dyDescent="0.25">
      <c r="A9" t="s">
        <v>12</v>
      </c>
      <c r="B9">
        <v>0.76800000000000002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8.3680000000000003</v>
      </c>
      <c r="B13">
        <v>0.84699999999999998</v>
      </c>
      <c r="C13">
        <f>B13/$B$9</f>
        <v>1.1028645833333333</v>
      </c>
      <c r="D13">
        <f>$B$7*A13/$B$9</f>
        <v>1.0895833333333333</v>
      </c>
    </row>
    <row r="14" spans="1:4" x14ac:dyDescent="0.25">
      <c r="A14">
        <v>7.5309999999999997</v>
      </c>
      <c r="B14">
        <v>0.76400000000000001</v>
      </c>
      <c r="C14">
        <f t="shared" ref="C14:C24" si="0">B14/$B$9</f>
        <v>0.99479166666666663</v>
      </c>
      <c r="D14">
        <f t="shared" ref="D14:D15" si="1">$B$7*A14/$B$9</f>
        <v>0.98059895833333333</v>
      </c>
    </row>
    <row r="15" spans="1:4" x14ac:dyDescent="0.25">
      <c r="A15">
        <v>6.6950000000000003</v>
      </c>
      <c r="B15">
        <v>0.68700000000000006</v>
      </c>
      <c r="C15">
        <f t="shared" si="0"/>
        <v>0.89453125</v>
      </c>
      <c r="D15">
        <f t="shared" si="1"/>
        <v>0.87174479166666674</v>
      </c>
    </row>
    <row r="16" spans="1:4" x14ac:dyDescent="0.25">
      <c r="A16">
        <v>5.8579999999999997</v>
      </c>
      <c r="B16">
        <v>0.58899999999999997</v>
      </c>
      <c r="C16">
        <f t="shared" si="0"/>
        <v>0.76692708333333326</v>
      </c>
      <c r="D16">
        <f t="shared" ref="D16:D24" si="2">$B$7*A16/$B$9</f>
        <v>0.76276041666666661</v>
      </c>
    </row>
    <row r="17" spans="1:4" x14ac:dyDescent="0.25">
      <c r="A17">
        <v>4.1840000000000002</v>
      </c>
      <c r="B17">
        <v>0.44800000000000001</v>
      </c>
      <c r="C17">
        <f t="shared" si="0"/>
        <v>0.58333333333333337</v>
      </c>
      <c r="D17">
        <f t="shared" si="2"/>
        <v>0.54479166666666667</v>
      </c>
    </row>
    <row r="18" spans="1:4" x14ac:dyDescent="0.25">
      <c r="A18">
        <v>3.347</v>
      </c>
      <c r="B18">
        <v>0.38100000000000001</v>
      </c>
      <c r="C18">
        <f t="shared" si="0"/>
        <v>0.49609375</v>
      </c>
      <c r="D18">
        <f t="shared" si="2"/>
        <v>0.43580729166666665</v>
      </c>
    </row>
    <row r="19" spans="1:4" x14ac:dyDescent="0.25">
      <c r="A19">
        <v>2.5099999999999998</v>
      </c>
      <c r="B19">
        <v>0.29199999999999998</v>
      </c>
      <c r="C19">
        <f t="shared" si="0"/>
        <v>0.38020833333333331</v>
      </c>
      <c r="D19">
        <f t="shared" si="2"/>
        <v>0.32682291666666669</v>
      </c>
    </row>
    <row r="20" spans="1:4" x14ac:dyDescent="0.25">
      <c r="A20">
        <v>1.6739999999999999</v>
      </c>
      <c r="B20">
        <v>0.23699999999999999</v>
      </c>
      <c r="C20">
        <f t="shared" si="0"/>
        <v>0.30859375</v>
      </c>
      <c r="D20">
        <f t="shared" si="2"/>
        <v>0.21796874999999999</v>
      </c>
    </row>
    <row r="21" spans="1:4" x14ac:dyDescent="0.25">
      <c r="A21">
        <v>0.83699999999999997</v>
      </c>
      <c r="B21">
        <v>0.16800000000000001</v>
      </c>
      <c r="C21">
        <f t="shared" si="0"/>
        <v>0.21875</v>
      </c>
      <c r="D21">
        <f t="shared" si="2"/>
        <v>0.10898437499999999</v>
      </c>
    </row>
    <row r="22" spans="1:4" x14ac:dyDescent="0.25">
      <c r="A22">
        <v>0.628</v>
      </c>
      <c r="B22">
        <v>0.14899999999999999</v>
      </c>
      <c r="C22">
        <f t="shared" si="0"/>
        <v>0.19401041666666666</v>
      </c>
      <c r="D22">
        <f t="shared" si="2"/>
        <v>8.1770833333333348E-2</v>
      </c>
    </row>
    <row r="23" spans="1:4" x14ac:dyDescent="0.25">
      <c r="A23">
        <v>0.41799999999999998</v>
      </c>
      <c r="B23">
        <v>0.14399999999999999</v>
      </c>
      <c r="C23">
        <f t="shared" si="0"/>
        <v>0.18749999999999997</v>
      </c>
      <c r="D23">
        <f t="shared" si="2"/>
        <v>5.4427083333333334E-2</v>
      </c>
    </row>
    <row r="24" spans="1:4" x14ac:dyDescent="0.25">
      <c r="A24">
        <v>0.20899999999999999</v>
      </c>
      <c r="B24">
        <v>0.112</v>
      </c>
      <c r="C24">
        <f t="shared" si="0"/>
        <v>0.14583333333333334</v>
      </c>
      <c r="D24">
        <f t="shared" si="2"/>
        <v>2.7213541666666667E-2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93C2-C5E9-456C-B87A-12E89A2041DB}">
  <dimension ref="A1:D26"/>
  <sheetViews>
    <sheetView workbookViewId="0">
      <selection activeCell="C9" sqref="C9"/>
    </sheetView>
  </sheetViews>
  <sheetFormatPr defaultRowHeight="15" x14ac:dyDescent="0.25"/>
  <cols>
    <col min="1" max="1" width="17.42578125" customWidth="1"/>
    <col min="2" max="4" width="9.140625" customWidth="1"/>
  </cols>
  <sheetData>
    <row r="1" spans="1:4" x14ac:dyDescent="0.25">
      <c r="A1" t="s">
        <v>2</v>
      </c>
      <c r="B1" t="s">
        <v>19</v>
      </c>
    </row>
    <row r="2" spans="1:4" x14ac:dyDescent="0.25">
      <c r="A2" t="s">
        <v>3</v>
      </c>
      <c r="B2" t="s">
        <v>16</v>
      </c>
    </row>
    <row r="3" spans="1:4" x14ac:dyDescent="0.25">
      <c r="A3" t="s">
        <v>5</v>
      </c>
      <c r="B3" t="s">
        <v>20</v>
      </c>
    </row>
    <row r="4" spans="1:4" x14ac:dyDescent="0.25">
      <c r="A4" t="s">
        <v>7</v>
      </c>
      <c r="B4">
        <v>25</v>
      </c>
    </row>
    <row r="5" spans="1:4" x14ac:dyDescent="0.25">
      <c r="A5" t="s">
        <v>8</v>
      </c>
      <c r="B5">
        <v>10.130000000000001</v>
      </c>
    </row>
    <row r="6" spans="1:4" x14ac:dyDescent="0.25">
      <c r="A6" t="s">
        <v>9</v>
      </c>
      <c r="B6">
        <v>0.20799999999999999</v>
      </c>
    </row>
    <row r="7" spans="1:4" x14ac:dyDescent="0.25">
      <c r="A7" t="s">
        <v>10</v>
      </c>
      <c r="B7">
        <v>3.1E-2</v>
      </c>
    </row>
    <row r="8" spans="1:4" x14ac:dyDescent="0.25">
      <c r="A8" t="s">
        <v>11</v>
      </c>
      <c r="B8">
        <v>5</v>
      </c>
    </row>
    <row r="9" spans="1:4" x14ac:dyDescent="0.25">
      <c r="A9" t="s">
        <v>12</v>
      </c>
      <c r="B9">
        <v>0.92400000000000004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7.22</v>
      </c>
      <c r="B13">
        <v>0.20999999999999996</v>
      </c>
      <c r="C13">
        <f>B13/$B$9</f>
        <v>0.22727272727272724</v>
      </c>
      <c r="D13">
        <f>$B$7*A13/$B$9</f>
        <v>0.24222943722943721</v>
      </c>
    </row>
    <row r="14" spans="1:4" x14ac:dyDescent="0.25">
      <c r="A14">
        <v>5.7799999999999994</v>
      </c>
      <c r="B14">
        <v>0.19001999999999997</v>
      </c>
      <c r="C14">
        <f t="shared" ref="C14:C26" si="0">B14/$B$9</f>
        <v>0.20564935064935061</v>
      </c>
      <c r="D14">
        <f t="shared" ref="D14:D24" si="1">$B$7*A14/$B$9</f>
        <v>0.19391774891774888</v>
      </c>
    </row>
    <row r="15" spans="1:4" x14ac:dyDescent="0.25">
      <c r="A15">
        <v>4.33</v>
      </c>
      <c r="B15">
        <v>0.16031999999999999</v>
      </c>
      <c r="C15">
        <f t="shared" si="0"/>
        <v>0.1735064935064935</v>
      </c>
      <c r="D15">
        <f t="shared" si="1"/>
        <v>0.14527056277056274</v>
      </c>
    </row>
    <row r="16" spans="1:4" x14ac:dyDescent="0.25">
      <c r="A16">
        <v>3.61</v>
      </c>
      <c r="B16">
        <v>0.14081999999999997</v>
      </c>
      <c r="C16">
        <f t="shared" si="0"/>
        <v>0.15240259740259737</v>
      </c>
      <c r="D16">
        <f t="shared" si="1"/>
        <v>0.12111471861471861</v>
      </c>
    </row>
    <row r="17" spans="1:4" x14ac:dyDescent="0.25">
      <c r="A17">
        <v>2.89</v>
      </c>
      <c r="B17">
        <v>0.12953999999999999</v>
      </c>
      <c r="C17">
        <f t="shared" si="0"/>
        <v>0.14019480519480518</v>
      </c>
      <c r="D17">
        <f t="shared" si="1"/>
        <v>9.6958874458874453E-2</v>
      </c>
    </row>
    <row r="18" spans="1:4" x14ac:dyDescent="0.25">
      <c r="A18">
        <v>2.17</v>
      </c>
      <c r="B18">
        <v>0.12018</v>
      </c>
      <c r="C18">
        <f t="shared" si="0"/>
        <v>0.13006493506493505</v>
      </c>
      <c r="D18">
        <f t="shared" si="1"/>
        <v>7.28030303030303E-2</v>
      </c>
    </row>
    <row r="19" spans="1:4" x14ac:dyDescent="0.25">
      <c r="A19">
        <v>1.81</v>
      </c>
      <c r="B19">
        <v>0.11298</v>
      </c>
      <c r="C19">
        <f t="shared" si="0"/>
        <v>0.12227272727272727</v>
      </c>
      <c r="D19">
        <f t="shared" si="1"/>
        <v>6.0725108225108224E-2</v>
      </c>
    </row>
    <row r="20" spans="1:4" x14ac:dyDescent="0.25">
      <c r="A20">
        <v>1.44</v>
      </c>
      <c r="B20">
        <v>0.1071</v>
      </c>
      <c r="C20">
        <f t="shared" si="0"/>
        <v>0.11590909090909091</v>
      </c>
      <c r="D20">
        <f t="shared" si="1"/>
        <v>4.8311688311688306E-2</v>
      </c>
    </row>
    <row r="21" spans="1:4" x14ac:dyDescent="0.25">
      <c r="A21">
        <v>1.08</v>
      </c>
      <c r="B21">
        <v>0.10613999999999998</v>
      </c>
      <c r="C21">
        <f t="shared" si="0"/>
        <v>0.11487012987012984</v>
      </c>
      <c r="D21">
        <f t="shared" si="1"/>
        <v>3.6233766233766236E-2</v>
      </c>
    </row>
    <row r="22" spans="1:4" x14ac:dyDescent="0.25">
      <c r="A22">
        <v>0.72</v>
      </c>
      <c r="B22">
        <v>9.8339999999999997E-2</v>
      </c>
      <c r="C22">
        <f t="shared" si="0"/>
        <v>0.10642857142857141</v>
      </c>
      <c r="D22">
        <f t="shared" si="1"/>
        <v>2.4155844155844153E-2</v>
      </c>
    </row>
    <row r="23" spans="1:4" x14ac:dyDescent="0.25">
      <c r="A23">
        <v>0.54</v>
      </c>
      <c r="B23">
        <v>9.8639999999999992E-2</v>
      </c>
      <c r="C23">
        <f t="shared" si="0"/>
        <v>0.10675324675324674</v>
      </c>
      <c r="D23">
        <f t="shared" si="1"/>
        <v>1.8116883116883118E-2</v>
      </c>
    </row>
    <row r="24" spans="1:4" x14ac:dyDescent="0.25">
      <c r="A24">
        <v>0.36</v>
      </c>
      <c r="B24">
        <v>9.1859999999999983E-2</v>
      </c>
      <c r="C24">
        <f t="shared" si="0"/>
        <v>9.9415584415584388E-2</v>
      </c>
      <c r="D24">
        <f t="shared" si="1"/>
        <v>1.2077922077922076E-2</v>
      </c>
    </row>
    <row r="25" spans="1:4" x14ac:dyDescent="0.25">
      <c r="A25">
        <v>0.18</v>
      </c>
      <c r="B25">
        <v>8.8620000000000004E-2</v>
      </c>
      <c r="C25">
        <f t="shared" si="0"/>
        <v>9.5909090909090916E-2</v>
      </c>
      <c r="D25">
        <f t="shared" ref="D25:D26" si="2">$B$7*A25/$B$9</f>
        <v>6.0389610389610382E-3</v>
      </c>
    </row>
    <row r="26" spans="1:4" x14ac:dyDescent="0.25">
      <c r="A26">
        <v>7.0000000000000007E-2</v>
      </c>
      <c r="B26">
        <v>8.5559999999999997E-2</v>
      </c>
      <c r="C26">
        <f t="shared" si="0"/>
        <v>9.2597402597402595E-2</v>
      </c>
      <c r="D26">
        <f t="shared" si="2"/>
        <v>2.3484848484848484E-3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645C-29D5-4CC1-AB25-EDCCDCB6D159}">
  <dimension ref="A1:D15"/>
  <sheetViews>
    <sheetView tabSelected="1" workbookViewId="0">
      <selection activeCell="F18" sqref="F18"/>
    </sheetView>
  </sheetViews>
  <sheetFormatPr defaultRowHeight="15" x14ac:dyDescent="0.25"/>
  <cols>
    <col min="1" max="1" width="16.28515625" customWidth="1"/>
  </cols>
  <sheetData>
    <row r="1" spans="1:4" x14ac:dyDescent="0.25">
      <c r="A1" t="s">
        <v>2</v>
      </c>
      <c r="B1" t="s">
        <v>22</v>
      </c>
    </row>
    <row r="2" spans="1:4" x14ac:dyDescent="0.25">
      <c r="A2" t="s">
        <v>3</v>
      </c>
      <c r="B2" t="s">
        <v>17</v>
      </c>
    </row>
    <row r="3" spans="1:4" x14ac:dyDescent="0.25">
      <c r="A3" t="s">
        <v>5</v>
      </c>
      <c r="B3" t="s">
        <v>20</v>
      </c>
    </row>
    <row r="4" spans="1:4" x14ac:dyDescent="0.25">
      <c r="A4" t="s">
        <v>7</v>
      </c>
      <c r="B4">
        <v>32</v>
      </c>
    </row>
    <row r="5" spans="1:4" x14ac:dyDescent="0.25">
      <c r="A5" t="s">
        <v>8</v>
      </c>
      <c r="B5">
        <v>15.25</v>
      </c>
    </row>
    <row r="6" spans="1:4" x14ac:dyDescent="0.25">
      <c r="A6" t="s">
        <v>9</v>
      </c>
      <c r="B6">
        <v>0.193</v>
      </c>
    </row>
    <row r="7" spans="1:4" x14ac:dyDescent="0.25">
      <c r="A7" t="s">
        <v>10</v>
      </c>
      <c r="B7">
        <v>2.6150000000000002</v>
      </c>
    </row>
    <row r="8" spans="1:4" x14ac:dyDescent="0.25">
      <c r="A8" t="s">
        <v>11</v>
      </c>
      <c r="B8">
        <v>10.4</v>
      </c>
    </row>
    <row r="9" spans="1:4" x14ac:dyDescent="0.25">
      <c r="A9" t="s">
        <v>12</v>
      </c>
      <c r="B9">
        <v>0.40720000000000001</v>
      </c>
    </row>
    <row r="11" spans="1:4" x14ac:dyDescent="0.25">
      <c r="A11" t="s">
        <v>15</v>
      </c>
      <c r="B11" t="s">
        <v>21</v>
      </c>
      <c r="C11" t="s">
        <v>0</v>
      </c>
      <c r="D11" t="s">
        <v>1</v>
      </c>
    </row>
    <row r="12" spans="1:4" x14ac:dyDescent="0.25">
      <c r="A12" t="s">
        <v>13</v>
      </c>
      <c r="B12" t="s">
        <v>14</v>
      </c>
    </row>
    <row r="13" spans="1:4" x14ac:dyDescent="0.25">
      <c r="A13">
        <v>0.255637</v>
      </c>
      <c r="B13">
        <v>1.0456000000000001</v>
      </c>
      <c r="C13">
        <f>B13/$B$9</f>
        <v>2.5677799607072691</v>
      </c>
      <c r="D13">
        <f>$B$7*A13/$B$9</f>
        <v>1.6416767067779963</v>
      </c>
    </row>
    <row r="14" spans="1:4" x14ac:dyDescent="0.25">
      <c r="A14">
        <v>0.51127500000000003</v>
      </c>
      <c r="B14">
        <v>1.4628000000000001</v>
      </c>
      <c r="C14">
        <f>B14/$B$9</f>
        <v>3.5923379174852652</v>
      </c>
      <c r="D14">
        <f>$B$7*A14/$B$9</f>
        <v>3.2833598354616904</v>
      </c>
    </row>
    <row r="15" spans="1:4" x14ac:dyDescent="0.25">
      <c r="A15">
        <v>1.2781899000000001</v>
      </c>
      <c r="B15">
        <v>2.4708999999999999</v>
      </c>
      <c r="C15">
        <f>B15/$B$9</f>
        <v>6.0680255402750491</v>
      </c>
      <c r="D15">
        <f>$B$7*A15/$B$9</f>
        <v>8.2084150012279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Kobeissi_FB_H2_CH4_T25_P1450</vt:lpstr>
      <vt:lpstr>Kobeissi_FB_H2_CH4_T25_P1088</vt:lpstr>
      <vt:lpstr>Kobeissi_FB_H2_CH4_T25_P725</vt:lpstr>
      <vt:lpstr>Kobeissi_FB_H2_N2_T25_P1450</vt:lpstr>
      <vt:lpstr>Kobeissi_FB_H2_N2_T25_P1088</vt:lpstr>
      <vt:lpstr>Kobeissi_FB_H2_N2_T25_P725</vt:lpstr>
      <vt:lpstr>Kobeissi_FB_H2_CO2_T25_P1088</vt:lpstr>
      <vt:lpstr>Kobeissi_FB_H2_CO2_T25_P725</vt:lpstr>
      <vt:lpstr>Yang_BE_H2_N2_T25_P725</vt:lpstr>
      <vt:lpstr>GM_BE_H2CO2_T32_P1500_5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2026-04-02T23:54:09Z</dcterms:modified>
</cp:coreProperties>
</file>