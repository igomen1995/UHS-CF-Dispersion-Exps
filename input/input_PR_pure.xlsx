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02_UHS EXPERIMENTS/H2 DISPLACEMENT EXPERIMENT/Input/"/>
    </mc:Choice>
  </mc:AlternateContent>
  <xr:revisionPtr revIDLastSave="53" documentId="11_F25DC773A252ABDACC10485949585E945ADE58F0" xr6:coauthVersionLast="47" xr6:coauthVersionMax="47" xr10:uidLastSave="{DE3ED494-FEE3-4BE4-A9E3-8A2DDC2A6C0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</calcChain>
</file>

<file path=xl/sharedStrings.xml><?xml version="1.0" encoding="utf-8"?>
<sst xmlns="http://schemas.openxmlformats.org/spreadsheetml/2006/main" count="14" uniqueCount="14">
  <si>
    <t>Fluid</t>
  </si>
  <si>
    <t>Acentric factor</t>
  </si>
  <si>
    <t>H2</t>
  </si>
  <si>
    <t>CO2</t>
  </si>
  <si>
    <t>K</t>
  </si>
  <si>
    <t>Tc</t>
  </si>
  <si>
    <t>Pc</t>
  </si>
  <si>
    <t>MPa</t>
  </si>
  <si>
    <t>N2</t>
  </si>
  <si>
    <t>He</t>
  </si>
  <si>
    <t>Xe</t>
  </si>
  <si>
    <t>CH4</t>
  </si>
  <si>
    <t>M</t>
  </si>
  <si>
    <t>kg/mol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</si>
</sst>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3" sqref="E13"/>
    </sheetView>
  </sheetViews>
  <sheetFormatPr defaultRowHeight="15" x14ac:dyDescent="0.25"/>
  <cols>
    <col min="1" max="4" width="10.85546875" customWidth="1"/>
    <col min="5" max="5" width="13.7109375" customWidth="1"/>
  </cols>
  <sheetData>
    <row r="1" spans="1:5" x14ac:dyDescent="0.25">
      <c r="A1" t="s">
        <v>0</v>
      </c>
      <c r="B1" t="s">
        <v>12</v>
      </c>
      <c r="C1" t="s">
        <v>5</v>
      </c>
      <c r="D1" t="s">
        <v>6</v>
      </c>
      <c r="E1" t="s">
        <v>1</v>
      </c>
    </row>
    <row r="2" spans="1:5" x14ac:dyDescent="0.25">
      <c r="B2" t="s">
        <v>13</v>
      </c>
      <c r="C2" t="s">
        <v>4</v>
      </c>
      <c r="D2" t="s">
        <v>7</v>
      </c>
    </row>
    <row r="3" spans="1:5" x14ac:dyDescent="0.25">
      <c r="A3" t="s">
        <v>2</v>
      </c>
      <c r="B3">
        <f>2.016*(10^-3)</f>
        <v>2.016E-3</v>
      </c>
      <c r="C3">
        <v>33.145000000000003</v>
      </c>
      <c r="D3">
        <v>1.2964</v>
      </c>
      <c r="E3">
        <v>-0.219</v>
      </c>
    </row>
    <row r="4" spans="1:5" x14ac:dyDescent="0.25">
      <c r="A4" t="s">
        <v>3</v>
      </c>
      <c r="B4">
        <f>44.01*(10^-3)</f>
        <v>4.4010000000000001E-2</v>
      </c>
      <c r="C4">
        <v>304.12819999999999</v>
      </c>
      <c r="D4">
        <v>7.3773</v>
      </c>
      <c r="E4">
        <v>0.22394</v>
      </c>
    </row>
    <row r="5" spans="1:5" x14ac:dyDescent="0.25">
      <c r="A5" t="s">
        <v>9</v>
      </c>
      <c r="B5">
        <v>4.0000000000000001E-3</v>
      </c>
      <c r="C5">
        <v>5.1952999999999996</v>
      </c>
      <c r="D5">
        <v>0.22832</v>
      </c>
      <c r="E5">
        <v>-0.3836</v>
      </c>
    </row>
    <row r="6" spans="1:5" x14ac:dyDescent="0.25">
      <c r="A6" t="s">
        <v>10</v>
      </c>
      <c r="B6">
        <v>0.13128999999999999</v>
      </c>
      <c r="C6">
        <v>289.733</v>
      </c>
      <c r="D6">
        <v>5.8419999999999996</v>
      </c>
      <c r="E6">
        <v>3.63E-3</v>
      </c>
    </row>
    <row r="7" spans="1:5" x14ac:dyDescent="0.25">
      <c r="A7" t="s">
        <v>11</v>
      </c>
      <c r="B7">
        <v>1.6039999999999999E-2</v>
      </c>
      <c r="C7">
        <v>190.56399999999999</v>
      </c>
      <c r="D7">
        <v>4.5991999999999997</v>
      </c>
      <c r="E7">
        <v>1.142E-2</v>
      </c>
    </row>
    <row r="8" spans="1:5" x14ac:dyDescent="0.25">
      <c r="A8" t="s">
        <v>8</v>
      </c>
      <c r="B8">
        <v>2.8014000000000001E-2</v>
      </c>
      <c r="C8">
        <v>126.19199999999999</v>
      </c>
      <c r="D8">
        <v>3.3957999999999999</v>
      </c>
      <c r="E8">
        <v>3.7199999999999997E-2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2026-02-05T16:30:54Z</dcterms:modified>
</cp:coreProperties>
</file>