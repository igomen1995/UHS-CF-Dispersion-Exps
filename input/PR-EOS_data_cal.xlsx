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izg5132_psu_edu/Documents/06_PHD_EME_PSU/00 RESEARCH/PHD UHS PROJECT/02_UHS EXPERIMENTS/H2 DISPLACEMENT EXPERIMENT/Input/"/>
    </mc:Choice>
  </mc:AlternateContent>
  <xr:revisionPtr revIDLastSave="340" documentId="11_F25DC773A252ABDACC1048B8D1997AFC5ADE58F1" xr6:coauthVersionLast="47" xr6:coauthVersionMax="47" xr10:uidLastSave="{45012108-F6B7-47D4-9762-29DF2B7330D3}"/>
  <bookViews>
    <workbookView xWindow="-28920" yWindow="-120" windowWidth="29040" windowHeight="15720" xr2:uid="{00000000-000D-0000-FFFF-FFFF00000000}"/>
  </bookViews>
  <sheets>
    <sheet name="Sheet1" sheetId="1" r:id="rId1"/>
    <sheet name="NIST" sheetId="2" r:id="rId2"/>
    <sheet name="Dif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3" l="1"/>
  <c r="F33" i="3"/>
  <c r="F34" i="3"/>
  <c r="F35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" i="3"/>
  <c r="D35" i="3"/>
  <c r="E35" i="3" s="1"/>
  <c r="D34" i="3"/>
  <c r="E34" i="3" s="1"/>
  <c r="D33" i="3"/>
  <c r="E33" i="3" s="1"/>
  <c r="D32" i="3"/>
  <c r="E32" i="3" s="1"/>
  <c r="D31" i="3"/>
  <c r="E31" i="3" s="1"/>
  <c r="E30" i="3"/>
  <c r="D30" i="3"/>
  <c r="D29" i="3"/>
  <c r="E29" i="3" s="1"/>
  <c r="D28" i="3"/>
  <c r="E28" i="3" s="1"/>
  <c r="D27" i="3"/>
  <c r="E27" i="3" s="1"/>
  <c r="D26" i="3"/>
  <c r="E26" i="3" s="1"/>
  <c r="D25" i="3"/>
  <c r="E25" i="3" s="1"/>
  <c r="E24" i="3"/>
  <c r="D24" i="3"/>
  <c r="D23" i="3"/>
  <c r="E23" i="3" s="1"/>
  <c r="D22" i="3"/>
  <c r="E22" i="3" s="1"/>
  <c r="D21" i="3"/>
  <c r="E21" i="3" s="1"/>
  <c r="D20" i="3"/>
  <c r="E20" i="3" s="1"/>
  <c r="D19" i="3"/>
  <c r="E19" i="3" s="1"/>
  <c r="E18" i="3"/>
  <c r="D18" i="3"/>
  <c r="D17" i="3"/>
  <c r="E17" i="3" s="1"/>
  <c r="D16" i="3"/>
  <c r="E16" i="3" s="1"/>
  <c r="D15" i="3"/>
  <c r="E15" i="3" s="1"/>
  <c r="D14" i="3"/>
  <c r="E14" i="3" s="1"/>
  <c r="D13" i="3"/>
  <c r="E13" i="3" s="1"/>
  <c r="E12" i="3"/>
  <c r="D12" i="3"/>
  <c r="D11" i="3"/>
  <c r="E11" i="3" s="1"/>
  <c r="D10" i="3"/>
  <c r="E10" i="3" s="1"/>
  <c r="D9" i="3"/>
  <c r="E9" i="3" s="1"/>
  <c r="D8" i="3"/>
  <c r="E8" i="3" s="1"/>
  <c r="D7" i="3"/>
  <c r="E7" i="3" s="1"/>
  <c r="E6" i="3"/>
  <c r="D6" i="3"/>
  <c r="D5" i="3"/>
  <c r="E5" i="3" s="1"/>
  <c r="D4" i="3"/>
  <c r="E4" i="3" s="1"/>
  <c r="D3" i="3"/>
  <c r="E3" i="3" s="1"/>
  <c r="D35" i="1"/>
  <c r="E35" i="1" s="1"/>
  <c r="D34" i="1"/>
  <c r="E34" i="1" s="1"/>
  <c r="D33" i="1"/>
  <c r="E33" i="1" s="1"/>
  <c r="D32" i="1"/>
  <c r="E32" i="1" s="1"/>
  <c r="D31" i="1"/>
  <c r="E31" i="1" s="1"/>
  <c r="D30" i="1"/>
  <c r="E30" i="1" s="1"/>
  <c r="D29" i="1"/>
  <c r="E29" i="1" s="1"/>
  <c r="D28" i="1"/>
  <c r="E28" i="1" s="1"/>
  <c r="D27" i="1"/>
  <c r="E27" i="1" s="1"/>
  <c r="D26" i="1"/>
  <c r="E26" i="1" s="1"/>
  <c r="D25" i="1"/>
  <c r="E25" i="1" s="1"/>
  <c r="E24" i="1"/>
  <c r="D24" i="1"/>
  <c r="D23" i="1"/>
  <c r="E23" i="1" s="1"/>
  <c r="D22" i="1"/>
  <c r="E22" i="1" s="1"/>
  <c r="D21" i="1"/>
  <c r="E21" i="1" s="1"/>
  <c r="D32" i="2"/>
  <c r="E32" i="2" s="1"/>
  <c r="D33" i="2"/>
  <c r="E33" i="2" s="1"/>
  <c r="D34" i="2"/>
  <c r="E34" i="2" s="1"/>
  <c r="D35" i="2"/>
  <c r="E35" i="2" s="1"/>
  <c r="D31" i="2"/>
  <c r="E31" i="2" s="1"/>
  <c r="D30" i="2"/>
  <c r="E30" i="2" s="1"/>
  <c r="D28" i="2"/>
  <c r="E28" i="2" s="1"/>
  <c r="D29" i="2"/>
  <c r="E29" i="2" s="1"/>
  <c r="D27" i="2"/>
  <c r="E27" i="2" s="1"/>
  <c r="D26" i="2"/>
  <c r="E26" i="2" s="1"/>
  <c r="D25" i="2"/>
  <c r="E25" i="2" s="1"/>
  <c r="D24" i="2"/>
  <c r="E24" i="2" s="1"/>
  <c r="D23" i="2"/>
  <c r="E23" i="2" s="1"/>
  <c r="D20" i="2"/>
  <c r="E20" i="2" s="1"/>
  <c r="D19" i="2"/>
  <c r="E19" i="2" s="1"/>
  <c r="D18" i="2"/>
  <c r="E18" i="2" s="1"/>
  <c r="D17" i="2"/>
  <c r="E17" i="2" s="1"/>
  <c r="D16" i="2"/>
  <c r="E16" i="2" s="1"/>
  <c r="D15" i="2"/>
  <c r="E15" i="2" s="1"/>
  <c r="D14" i="2"/>
  <c r="E14" i="2" s="1"/>
  <c r="D13" i="2"/>
  <c r="E13" i="2" s="1"/>
  <c r="D12" i="2"/>
  <c r="E12" i="2" s="1"/>
  <c r="D11" i="2"/>
  <c r="E11" i="2" s="1"/>
  <c r="D10" i="2"/>
  <c r="E10" i="2" s="1"/>
  <c r="D9" i="2"/>
  <c r="E9" i="2" s="1"/>
  <c r="D8" i="2"/>
  <c r="E8" i="2" s="1"/>
  <c r="D7" i="2"/>
  <c r="E7" i="2" s="1"/>
  <c r="D6" i="2"/>
  <c r="E6" i="2" s="1"/>
  <c r="D5" i="2"/>
  <c r="E5" i="2" s="1"/>
  <c r="D4" i="2"/>
  <c r="E4" i="2" s="1"/>
  <c r="D3" i="2"/>
  <c r="E3" i="2" s="1"/>
  <c r="D22" i="2"/>
  <c r="E22" i="2" s="1"/>
  <c r="D21" i="2"/>
  <c r="E21" i="2" s="1"/>
  <c r="D18" i="1"/>
  <c r="E18" i="1" s="1"/>
  <c r="D12" i="1"/>
  <c r="E12" i="1" s="1"/>
  <c r="D6" i="1"/>
  <c r="E6" i="1" s="1"/>
  <c r="D20" i="1"/>
  <c r="E20" i="1" s="1"/>
  <c r="D19" i="1"/>
  <c r="E19" i="1" s="1"/>
  <c r="D17" i="1"/>
  <c r="E17" i="1" s="1"/>
  <c r="D16" i="1"/>
  <c r="E16" i="1" s="1"/>
  <c r="D15" i="1"/>
  <c r="E15" i="1" s="1"/>
  <c r="D14" i="1"/>
  <c r="E14" i="1" s="1"/>
  <c r="D13" i="1"/>
  <c r="E13" i="1" s="1"/>
  <c r="D11" i="1"/>
  <c r="E11" i="1" s="1"/>
  <c r="D10" i="1"/>
  <c r="E10" i="1" s="1"/>
  <c r="D9" i="1"/>
  <c r="E9" i="1" s="1"/>
  <c r="D4" i="1"/>
  <c r="E4" i="1" s="1"/>
  <c r="D5" i="1"/>
  <c r="E5" i="1" s="1"/>
  <c r="D7" i="1"/>
  <c r="E7" i="1" s="1"/>
  <c r="D8" i="1"/>
  <c r="E8" i="1" s="1"/>
  <c r="D3" i="1"/>
  <c r="E3" i="1" s="1"/>
</calcChain>
</file>

<file path=xl/sharedStrings.xml><?xml version="1.0" encoding="utf-8"?>
<sst xmlns="http://schemas.openxmlformats.org/spreadsheetml/2006/main" count="234" uniqueCount="24">
  <si>
    <t>Fluid</t>
  </si>
  <si>
    <t>Temp</t>
  </si>
  <si>
    <t>kg/m3</t>
  </si>
  <si>
    <t>psig</t>
  </si>
  <si>
    <t>°C</t>
  </si>
  <si>
    <t>P</t>
  </si>
  <si>
    <t>dens</t>
  </si>
  <si>
    <t>psia</t>
  </si>
  <si>
    <t>bar</t>
  </si>
  <si>
    <t>H2</t>
  </si>
  <si>
    <t>He</t>
  </si>
  <si>
    <t>CO2</t>
  </si>
  <si>
    <t>Phase</t>
  </si>
  <si>
    <t>vapor</t>
  </si>
  <si>
    <t>supercritical</t>
  </si>
  <si>
    <t>N2</t>
  </si>
  <si>
    <t>Xe</t>
  </si>
  <si>
    <t>H250CO2</t>
  </si>
  <si>
    <t>H275CO2</t>
  </si>
  <si>
    <t>for CT</t>
  </si>
  <si>
    <t>for MFM</t>
  </si>
  <si>
    <t>d_dens</t>
  </si>
  <si>
    <t>don’t need</t>
  </si>
  <si>
    <t>don't need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</si>
</sst>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 wrapText="1"/>
    </xf>
    <xf numFmtId="1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selection activeCell="I23" sqref="I23"/>
    </sheetView>
  </sheetViews>
  <sheetFormatPr defaultRowHeight="15" x14ac:dyDescent="0.25"/>
  <cols>
    <col min="1" max="4" width="8.85546875" style="2"/>
    <col min="5" max="5" width="7.42578125" style="2" customWidth="1"/>
    <col min="6" max="6" width="9.28515625" style="2" customWidth="1"/>
    <col min="7" max="7" width="11.28515625" style="2" customWidth="1"/>
  </cols>
  <sheetData>
    <row r="1" spans="1:7" x14ac:dyDescent="0.25">
      <c r="A1" s="2" t="s">
        <v>0</v>
      </c>
      <c r="B1" s="2" t="s">
        <v>1</v>
      </c>
      <c r="C1" s="2" t="s">
        <v>5</v>
      </c>
      <c r="D1" s="2" t="s">
        <v>5</v>
      </c>
      <c r="E1" s="2" t="s">
        <v>5</v>
      </c>
      <c r="F1" s="2" t="s">
        <v>6</v>
      </c>
      <c r="G1" s="2" t="s">
        <v>12</v>
      </c>
    </row>
    <row r="2" spans="1:7" x14ac:dyDescent="0.25">
      <c r="B2" s="3" t="s">
        <v>4</v>
      </c>
      <c r="C2" s="3" t="s">
        <v>3</v>
      </c>
      <c r="D2" s="3" t="s">
        <v>7</v>
      </c>
      <c r="E2" s="3" t="s">
        <v>8</v>
      </c>
      <c r="F2" s="2" t="s">
        <v>2</v>
      </c>
    </row>
    <row r="3" spans="1:7" x14ac:dyDescent="0.25">
      <c r="A3" s="2" t="s">
        <v>9</v>
      </c>
      <c r="B3" s="2">
        <v>32</v>
      </c>
      <c r="C3" s="2">
        <v>0</v>
      </c>
      <c r="D3" s="2">
        <f>C3+14.7</f>
        <v>14.7</v>
      </c>
      <c r="E3" s="4">
        <f>D3*0.06895</f>
        <v>1.0135649999999998</v>
      </c>
      <c r="F3" s="5">
        <v>7.9399999999999998E-2</v>
      </c>
      <c r="G3" s="1" t="s">
        <v>13</v>
      </c>
    </row>
    <row r="4" spans="1:7" x14ac:dyDescent="0.25">
      <c r="A4" s="2" t="s">
        <v>9</v>
      </c>
      <c r="B4" s="2">
        <v>32</v>
      </c>
      <c r="C4" s="2">
        <v>50</v>
      </c>
      <c r="D4" s="2">
        <f t="shared" ref="D4:D21" si="0">C4+14.7</f>
        <v>64.7</v>
      </c>
      <c r="E4" s="4">
        <f t="shared" ref="E4:E21" si="1">D4*0.06895</f>
        <v>4.4610649999999996</v>
      </c>
      <c r="F4" s="5">
        <v>0.3175</v>
      </c>
      <c r="G4" s="4" t="s">
        <v>13</v>
      </c>
    </row>
    <row r="5" spans="1:7" x14ac:dyDescent="0.25">
      <c r="A5" s="2" t="s">
        <v>9</v>
      </c>
      <c r="B5" s="2">
        <v>32</v>
      </c>
      <c r="C5" s="2">
        <v>200</v>
      </c>
      <c r="D5" s="2">
        <f t="shared" si="0"/>
        <v>214.7</v>
      </c>
      <c r="E5" s="4">
        <f t="shared" si="1"/>
        <v>14.803564999999999</v>
      </c>
      <c r="F5" s="5">
        <v>1.1868000000000001</v>
      </c>
      <c r="G5" s="1" t="s">
        <v>14</v>
      </c>
    </row>
    <row r="6" spans="1:7" x14ac:dyDescent="0.25">
      <c r="A6" s="2" t="s">
        <v>9</v>
      </c>
      <c r="B6" s="2">
        <v>32</v>
      </c>
      <c r="C6" s="2">
        <v>500</v>
      </c>
      <c r="D6" s="2">
        <f t="shared" si="0"/>
        <v>514.70000000000005</v>
      </c>
      <c r="E6" s="4">
        <f t="shared" si="1"/>
        <v>35.488565000000001</v>
      </c>
      <c r="F6" s="5">
        <v>2.7519999999999998</v>
      </c>
      <c r="G6" s="1" t="s">
        <v>14</v>
      </c>
    </row>
    <row r="7" spans="1:7" x14ac:dyDescent="0.25">
      <c r="A7" s="2" t="s">
        <v>9</v>
      </c>
      <c r="B7" s="2">
        <v>32</v>
      </c>
      <c r="C7" s="2">
        <v>900</v>
      </c>
      <c r="D7" s="2">
        <f t="shared" si="0"/>
        <v>914.7</v>
      </c>
      <c r="E7" s="4">
        <f t="shared" si="1"/>
        <v>63.068565</v>
      </c>
      <c r="F7" s="5">
        <v>4.9062000000000001</v>
      </c>
      <c r="G7" s="1" t="s">
        <v>14</v>
      </c>
    </row>
    <row r="8" spans="1:7" x14ac:dyDescent="0.25">
      <c r="A8" s="2" t="s">
        <v>9</v>
      </c>
      <c r="B8" s="2">
        <v>32</v>
      </c>
      <c r="C8" s="2">
        <v>1500</v>
      </c>
      <c r="D8" s="2">
        <f t="shared" si="0"/>
        <v>1514.7</v>
      </c>
      <c r="E8" s="4">
        <f t="shared" si="1"/>
        <v>104.438565</v>
      </c>
      <c r="F8" s="5">
        <v>7.9736000000000002</v>
      </c>
      <c r="G8" s="1" t="s">
        <v>14</v>
      </c>
    </row>
    <row r="9" spans="1:7" x14ac:dyDescent="0.25">
      <c r="A9" s="2" t="s">
        <v>10</v>
      </c>
      <c r="B9" s="2">
        <v>32</v>
      </c>
      <c r="C9" s="2">
        <v>0</v>
      </c>
      <c r="D9" s="2">
        <f>C9+14.7</f>
        <v>14.7</v>
      </c>
      <c r="E9" s="4">
        <f>D9*0.06895</f>
        <v>1.0135649999999998</v>
      </c>
      <c r="F9" s="5">
        <v>0.15759999999999999</v>
      </c>
      <c r="G9" s="4" t="s">
        <v>13</v>
      </c>
    </row>
    <row r="10" spans="1:7" x14ac:dyDescent="0.25">
      <c r="A10" s="2" t="s">
        <v>10</v>
      </c>
      <c r="B10" s="2">
        <v>32</v>
      </c>
      <c r="C10" s="2">
        <v>50</v>
      </c>
      <c r="D10" s="2">
        <f t="shared" si="0"/>
        <v>64.7</v>
      </c>
      <c r="E10" s="4">
        <f t="shared" si="1"/>
        <v>4.4610649999999996</v>
      </c>
      <c r="F10" s="5">
        <v>0.63029999999999997</v>
      </c>
      <c r="G10" s="4" t="s">
        <v>14</v>
      </c>
    </row>
    <row r="11" spans="1:7" x14ac:dyDescent="0.25">
      <c r="A11" s="2" t="s">
        <v>10</v>
      </c>
      <c r="B11" s="2">
        <v>32</v>
      </c>
      <c r="C11" s="2">
        <v>200</v>
      </c>
      <c r="D11" s="2">
        <f t="shared" si="0"/>
        <v>214.7</v>
      </c>
      <c r="E11" s="4">
        <f t="shared" si="1"/>
        <v>14.803564999999999</v>
      </c>
      <c r="F11" s="5">
        <v>2.3591000000000002</v>
      </c>
      <c r="G11" s="4" t="s">
        <v>14</v>
      </c>
    </row>
    <row r="12" spans="1:7" x14ac:dyDescent="0.25">
      <c r="A12" s="2" t="s">
        <v>10</v>
      </c>
      <c r="B12" s="2">
        <v>32</v>
      </c>
      <c r="C12" s="2">
        <v>500</v>
      </c>
      <c r="D12" s="2">
        <f t="shared" si="0"/>
        <v>514.70000000000005</v>
      </c>
      <c r="E12" s="4">
        <f t="shared" si="1"/>
        <v>35.488565000000001</v>
      </c>
      <c r="F12" s="5">
        <v>5.4836</v>
      </c>
      <c r="G12" s="4" t="s">
        <v>14</v>
      </c>
    </row>
    <row r="13" spans="1:7" x14ac:dyDescent="0.25">
      <c r="A13" s="2" t="s">
        <v>10</v>
      </c>
      <c r="B13" s="2">
        <v>32</v>
      </c>
      <c r="C13" s="2">
        <v>900</v>
      </c>
      <c r="D13" s="2">
        <f t="shared" si="0"/>
        <v>914.7</v>
      </c>
      <c r="E13" s="4">
        <f t="shared" si="1"/>
        <v>63.068565</v>
      </c>
      <c r="F13" s="5">
        <v>9.8087</v>
      </c>
      <c r="G13" s="4" t="s">
        <v>14</v>
      </c>
    </row>
    <row r="14" spans="1:7" x14ac:dyDescent="0.25">
      <c r="A14" s="2" t="s">
        <v>10</v>
      </c>
      <c r="B14" s="2">
        <v>32</v>
      </c>
      <c r="C14" s="2">
        <v>1500</v>
      </c>
      <c r="D14" s="2">
        <f t="shared" si="0"/>
        <v>1514.7</v>
      </c>
      <c r="E14" s="4">
        <f t="shared" si="1"/>
        <v>104.438565</v>
      </c>
      <c r="F14" s="5">
        <v>16.0169</v>
      </c>
      <c r="G14" s="4" t="s">
        <v>14</v>
      </c>
    </row>
    <row r="15" spans="1:7" x14ac:dyDescent="0.25">
      <c r="A15" s="2" t="s">
        <v>11</v>
      </c>
      <c r="B15" s="2">
        <v>32</v>
      </c>
      <c r="C15" s="2">
        <v>0</v>
      </c>
      <c r="D15" s="2">
        <f>C15+14.7</f>
        <v>14.7</v>
      </c>
      <c r="E15" s="4">
        <f>D15*0.06895</f>
        <v>1.0135649999999998</v>
      </c>
      <c r="F15" s="5">
        <v>1.7436</v>
      </c>
      <c r="G15" s="4" t="s">
        <v>13</v>
      </c>
    </row>
    <row r="16" spans="1:7" x14ac:dyDescent="0.25">
      <c r="A16" s="2" t="s">
        <v>11</v>
      </c>
      <c r="B16" s="2">
        <v>32</v>
      </c>
      <c r="C16" s="2">
        <v>50</v>
      </c>
      <c r="D16" s="2">
        <f t="shared" si="0"/>
        <v>64.7</v>
      </c>
      <c r="E16" s="4">
        <f t="shared" si="1"/>
        <v>4.4610649999999996</v>
      </c>
      <c r="F16" s="5">
        <v>7.0845000000000002</v>
      </c>
      <c r="G16" s="4" t="s">
        <v>13</v>
      </c>
    </row>
    <row r="17" spans="1:8" x14ac:dyDescent="0.25">
      <c r="A17" s="2" t="s">
        <v>11</v>
      </c>
      <c r="B17" s="2">
        <v>32</v>
      </c>
      <c r="C17" s="2">
        <v>200</v>
      </c>
      <c r="D17" s="2">
        <f t="shared" si="0"/>
        <v>214.7</v>
      </c>
      <c r="E17" s="4">
        <f t="shared" si="1"/>
        <v>14.803564999999999</v>
      </c>
      <c r="F17" s="5">
        <v>28.2637</v>
      </c>
      <c r="G17" s="4" t="s">
        <v>13</v>
      </c>
    </row>
    <row r="18" spans="1:8" x14ac:dyDescent="0.25">
      <c r="A18" s="2" t="s">
        <v>11</v>
      </c>
      <c r="B18" s="2">
        <v>32</v>
      </c>
      <c r="C18" s="2">
        <v>500</v>
      </c>
      <c r="D18" s="2">
        <f t="shared" si="0"/>
        <v>514.70000000000005</v>
      </c>
      <c r="E18" s="4">
        <f t="shared" si="1"/>
        <v>35.488565000000001</v>
      </c>
      <c r="F18" s="5">
        <v>75.694199999999995</v>
      </c>
      <c r="G18" s="4" t="s">
        <v>13</v>
      </c>
    </row>
    <row r="19" spans="1:8" x14ac:dyDescent="0.25">
      <c r="A19" s="2" t="s">
        <v>11</v>
      </c>
      <c r="B19" s="2">
        <v>32</v>
      </c>
      <c r="C19" s="2">
        <v>900</v>
      </c>
      <c r="D19" s="2">
        <f t="shared" si="0"/>
        <v>914.7</v>
      </c>
      <c r="E19" s="4">
        <f t="shared" si="1"/>
        <v>63.068565</v>
      </c>
      <c r="F19" s="5">
        <v>188.47470000000001</v>
      </c>
      <c r="G19" s="4" t="s">
        <v>13</v>
      </c>
    </row>
    <row r="20" spans="1:8" x14ac:dyDescent="0.25">
      <c r="A20" s="2" t="s">
        <v>11</v>
      </c>
      <c r="B20" s="2">
        <v>32</v>
      </c>
      <c r="C20" s="2">
        <v>1500</v>
      </c>
      <c r="D20" s="2">
        <f t="shared" si="0"/>
        <v>1514.7</v>
      </c>
      <c r="E20" s="4">
        <f t="shared" si="1"/>
        <v>104.438565</v>
      </c>
      <c r="F20" s="5">
        <v>709.51559999999995</v>
      </c>
      <c r="G20" s="4" t="s">
        <v>14</v>
      </c>
    </row>
    <row r="21" spans="1:8" x14ac:dyDescent="0.25">
      <c r="A21" s="2" t="s">
        <v>15</v>
      </c>
      <c r="B21" s="2">
        <v>28</v>
      </c>
      <c r="C21" s="2">
        <v>1500</v>
      </c>
      <c r="D21" s="2">
        <f t="shared" si="0"/>
        <v>1514.7</v>
      </c>
      <c r="E21" s="4">
        <f t="shared" si="1"/>
        <v>104.438565</v>
      </c>
      <c r="F21" s="5">
        <v>117.5121</v>
      </c>
      <c r="G21" s="4" t="s">
        <v>14</v>
      </c>
    </row>
    <row r="22" spans="1:8" x14ac:dyDescent="0.25">
      <c r="A22" s="2" t="s">
        <v>16</v>
      </c>
      <c r="B22" s="2">
        <v>28</v>
      </c>
      <c r="C22" s="2">
        <v>116</v>
      </c>
      <c r="D22" s="2">
        <f>C22+14.7</f>
        <v>130.69999999999999</v>
      </c>
      <c r="E22" s="4">
        <f>D22/14.5038</f>
        <v>9.0114314869206691</v>
      </c>
      <c r="F22" s="5">
        <v>49.884999999999998</v>
      </c>
      <c r="G22" s="4" t="s">
        <v>13</v>
      </c>
      <c r="H22" t="s">
        <v>22</v>
      </c>
    </row>
    <row r="23" spans="1:8" x14ac:dyDescent="0.25">
      <c r="A23" s="2" t="s">
        <v>16</v>
      </c>
      <c r="B23" s="2">
        <v>28</v>
      </c>
      <c r="C23" s="2">
        <v>246</v>
      </c>
      <c r="D23" s="2">
        <f>C23+14.7</f>
        <v>260.7</v>
      </c>
      <c r="E23" s="4">
        <f>D23/14.5038</f>
        <v>17.97459976006288</v>
      </c>
      <c r="F23" s="5">
        <v>106.1506</v>
      </c>
      <c r="G23" s="4" t="s">
        <v>13</v>
      </c>
      <c r="H23" t="s">
        <v>23</v>
      </c>
    </row>
    <row r="24" spans="1:8" x14ac:dyDescent="0.25">
      <c r="A24" s="2" t="s">
        <v>16</v>
      </c>
      <c r="B24" s="2">
        <v>28</v>
      </c>
      <c r="C24" s="2">
        <v>348</v>
      </c>
      <c r="D24" s="2">
        <f>C24+14.7</f>
        <v>362.7</v>
      </c>
      <c r="E24" s="4">
        <f>D24/14.5038</f>
        <v>25.007239482066769</v>
      </c>
      <c r="F24" s="2">
        <v>155.6155</v>
      </c>
      <c r="G24" s="4" t="s">
        <v>13</v>
      </c>
    </row>
    <row r="25" spans="1:8" x14ac:dyDescent="0.25">
      <c r="A25" s="2" t="s">
        <v>16</v>
      </c>
      <c r="B25" s="2">
        <v>28</v>
      </c>
      <c r="C25" s="2">
        <v>450</v>
      </c>
      <c r="D25" s="2">
        <f>C25+14.7</f>
        <v>464.7</v>
      </c>
      <c r="E25" s="4">
        <f>D25/14.5038</f>
        <v>32.039879204070658</v>
      </c>
      <c r="F25" s="2">
        <v>211.64850000000001</v>
      </c>
      <c r="G25" s="4" t="s">
        <v>13</v>
      </c>
    </row>
    <row r="26" spans="1:8" x14ac:dyDescent="0.25">
      <c r="A26" s="2" t="s">
        <v>16</v>
      </c>
      <c r="B26" s="2">
        <v>28</v>
      </c>
      <c r="C26" s="2">
        <v>550</v>
      </c>
      <c r="D26" s="2">
        <f>C26+14.7</f>
        <v>564.70000000000005</v>
      </c>
      <c r="E26" s="4">
        <f>D26/14.5038</f>
        <v>38.934624029564667</v>
      </c>
      <c r="F26" s="2">
        <v>276.53210000000001</v>
      </c>
      <c r="G26" s="4" t="s">
        <v>13</v>
      </c>
    </row>
    <row r="27" spans="1:8" x14ac:dyDescent="0.25">
      <c r="A27" s="2" t="s">
        <v>16</v>
      </c>
      <c r="B27" s="2">
        <v>28</v>
      </c>
      <c r="C27" s="2">
        <v>650</v>
      </c>
      <c r="D27" s="2">
        <f>C27+14.7</f>
        <v>664.7</v>
      </c>
      <c r="E27" s="4">
        <f>D27/14.5038</f>
        <v>45.829368855058675</v>
      </c>
      <c r="F27" s="2">
        <v>354.10019999999997</v>
      </c>
      <c r="G27" s="4" t="s">
        <v>13</v>
      </c>
    </row>
    <row r="28" spans="1:8" x14ac:dyDescent="0.25">
      <c r="A28" s="2" t="s">
        <v>16</v>
      </c>
      <c r="B28" s="2">
        <v>28</v>
      </c>
      <c r="C28" s="2">
        <v>725</v>
      </c>
      <c r="D28" s="2">
        <f t="shared" ref="D28:D35" si="2">C28+14.7</f>
        <v>739.7</v>
      </c>
      <c r="E28" s="4">
        <f t="shared" ref="E28:E35" si="3">D28/14.5038</f>
        <v>51.000427474179183</v>
      </c>
      <c r="F28" s="2">
        <v>421.04160000000002</v>
      </c>
      <c r="G28" s="4" t="s">
        <v>13</v>
      </c>
    </row>
    <row r="29" spans="1:8" x14ac:dyDescent="0.25">
      <c r="A29" s="2" t="s">
        <v>16</v>
      </c>
      <c r="B29" s="2">
        <v>28</v>
      </c>
      <c r="C29" s="2">
        <v>900</v>
      </c>
      <c r="D29" s="2">
        <f t="shared" si="2"/>
        <v>914.7</v>
      </c>
      <c r="E29" s="4">
        <f t="shared" si="3"/>
        <v>63.0662309187937</v>
      </c>
      <c r="F29" s="2">
        <v>664.28779999999995</v>
      </c>
      <c r="G29" s="4" t="s">
        <v>14</v>
      </c>
    </row>
    <row r="30" spans="1:8" x14ac:dyDescent="0.25">
      <c r="A30" s="2" t="s">
        <v>17</v>
      </c>
      <c r="B30" s="2">
        <v>28</v>
      </c>
      <c r="C30" s="2">
        <v>1500</v>
      </c>
      <c r="D30" s="2">
        <f t="shared" si="2"/>
        <v>1514.7</v>
      </c>
      <c r="E30" s="2">
        <f t="shared" si="3"/>
        <v>104.43469987175774</v>
      </c>
      <c r="F30" s="5">
        <v>108.68918417822</v>
      </c>
    </row>
    <row r="31" spans="1:8" x14ac:dyDescent="0.25">
      <c r="A31" s="2" t="s">
        <v>18</v>
      </c>
      <c r="B31" s="2">
        <v>28</v>
      </c>
      <c r="C31" s="2">
        <v>1500</v>
      </c>
      <c r="D31" s="2">
        <f t="shared" si="2"/>
        <v>1514.7</v>
      </c>
      <c r="E31" s="2">
        <f t="shared" si="3"/>
        <v>104.43469987175774</v>
      </c>
      <c r="F31" s="2">
        <v>52.7830901560271</v>
      </c>
    </row>
    <row r="32" spans="1:8" x14ac:dyDescent="0.25">
      <c r="A32" s="2" t="s">
        <v>10</v>
      </c>
      <c r="B32" s="2">
        <v>20</v>
      </c>
      <c r="C32" s="2">
        <v>725</v>
      </c>
      <c r="D32" s="2">
        <f t="shared" si="2"/>
        <v>739.7</v>
      </c>
      <c r="E32" s="2">
        <f t="shared" si="3"/>
        <v>51.000427474179183</v>
      </c>
      <c r="F32" s="2">
        <v>8.2866999999999997</v>
      </c>
      <c r="G32" s="4" t="s">
        <v>14</v>
      </c>
    </row>
    <row r="33" spans="1:7" x14ac:dyDescent="0.25">
      <c r="A33" s="2" t="s">
        <v>10</v>
      </c>
      <c r="B33" s="2">
        <v>20</v>
      </c>
      <c r="C33" s="2">
        <v>900</v>
      </c>
      <c r="D33" s="2">
        <f t="shared" si="2"/>
        <v>914.7</v>
      </c>
      <c r="E33" s="2">
        <f t="shared" si="3"/>
        <v>63.0662309187937</v>
      </c>
      <c r="F33" s="2">
        <v>10.2066</v>
      </c>
      <c r="G33" s="4" t="s">
        <v>14</v>
      </c>
    </row>
    <row r="34" spans="1:7" x14ac:dyDescent="0.25">
      <c r="A34" s="2" t="s">
        <v>16</v>
      </c>
      <c r="B34" s="2">
        <v>20</v>
      </c>
      <c r="C34" s="2">
        <v>725</v>
      </c>
      <c r="D34" s="2">
        <f t="shared" si="2"/>
        <v>739.7</v>
      </c>
      <c r="E34" s="2">
        <f t="shared" si="3"/>
        <v>51.000427474179183</v>
      </c>
      <c r="F34" s="2">
        <v>471.17140000000001</v>
      </c>
      <c r="G34" s="2" t="s">
        <v>13</v>
      </c>
    </row>
    <row r="35" spans="1:7" x14ac:dyDescent="0.25">
      <c r="A35" s="2" t="s">
        <v>16</v>
      </c>
      <c r="B35" s="2">
        <v>20</v>
      </c>
      <c r="C35" s="2">
        <v>900</v>
      </c>
      <c r="D35" s="2">
        <f t="shared" si="2"/>
        <v>914.7</v>
      </c>
      <c r="E35" s="2">
        <f t="shared" si="3"/>
        <v>63.0662309187937</v>
      </c>
      <c r="F35" s="2">
        <v>1148.7</v>
      </c>
      <c r="G35" s="4" t="s">
        <v>14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A6179-A0E4-4FEE-A406-76B024E9DAC2}">
  <dimension ref="A1:H35"/>
  <sheetViews>
    <sheetView workbookViewId="0">
      <selection sqref="A1:H1048576"/>
    </sheetView>
  </sheetViews>
  <sheetFormatPr defaultRowHeight="15" x14ac:dyDescent="0.25"/>
  <cols>
    <col min="1" max="4" width="9.140625" style="2"/>
    <col min="5" max="5" width="7.42578125" style="2" customWidth="1"/>
    <col min="6" max="6" width="9.28515625" style="2" customWidth="1"/>
    <col min="7" max="7" width="11.28515625" style="2" customWidth="1"/>
  </cols>
  <sheetData>
    <row r="1" spans="1:8" x14ac:dyDescent="0.25">
      <c r="A1" s="2" t="s">
        <v>0</v>
      </c>
      <c r="B1" s="2" t="s">
        <v>1</v>
      </c>
      <c r="C1" s="2" t="s">
        <v>5</v>
      </c>
      <c r="D1" s="2" t="s">
        <v>5</v>
      </c>
      <c r="E1" s="2" t="s">
        <v>5</v>
      </c>
      <c r="F1" s="2" t="s">
        <v>6</v>
      </c>
      <c r="G1" s="2" t="s">
        <v>12</v>
      </c>
    </row>
    <row r="2" spans="1:8" x14ac:dyDescent="0.25">
      <c r="B2" s="3" t="s">
        <v>4</v>
      </c>
      <c r="C2" s="3" t="s">
        <v>3</v>
      </c>
      <c r="D2" s="3" t="s">
        <v>7</v>
      </c>
      <c r="E2" s="3" t="s">
        <v>8</v>
      </c>
      <c r="F2" s="2" t="s">
        <v>2</v>
      </c>
    </row>
    <row r="3" spans="1:8" x14ac:dyDescent="0.25">
      <c r="A3" s="2" t="s">
        <v>9</v>
      </c>
      <c r="B3" s="2">
        <v>32</v>
      </c>
      <c r="C3" s="2">
        <v>0</v>
      </c>
      <c r="D3" s="2">
        <f>C3+14.7</f>
        <v>14.7</v>
      </c>
      <c r="E3" s="4">
        <f>D3*0.06895</f>
        <v>1.0135649999999998</v>
      </c>
      <c r="F3" s="5">
        <v>7.9408000000000006E-2</v>
      </c>
      <c r="G3" s="1" t="s">
        <v>13</v>
      </c>
      <c r="H3" t="s">
        <v>20</v>
      </c>
    </row>
    <row r="4" spans="1:8" x14ac:dyDescent="0.25">
      <c r="A4" s="2" t="s">
        <v>9</v>
      </c>
      <c r="B4" s="2">
        <v>32</v>
      </c>
      <c r="C4" s="2">
        <v>50</v>
      </c>
      <c r="D4" s="2">
        <f t="shared" ref="D4:D20" si="0">C4+14.7</f>
        <v>64.7</v>
      </c>
      <c r="E4" s="4">
        <f t="shared" ref="E4:E20" si="1">D4*0.06895</f>
        <v>4.4610649999999996</v>
      </c>
      <c r="F4" s="5">
        <v>0.31707999999999997</v>
      </c>
      <c r="G4" s="4" t="s">
        <v>13</v>
      </c>
    </row>
    <row r="5" spans="1:8" x14ac:dyDescent="0.25">
      <c r="A5" s="2" t="s">
        <v>9</v>
      </c>
      <c r="B5" s="2">
        <v>32</v>
      </c>
      <c r="C5" s="2">
        <v>200</v>
      </c>
      <c r="D5" s="2">
        <f t="shared" si="0"/>
        <v>214.7</v>
      </c>
      <c r="E5" s="4">
        <f t="shared" si="1"/>
        <v>14.803564999999999</v>
      </c>
      <c r="F5" s="5">
        <v>1.1815</v>
      </c>
      <c r="G5" s="1" t="s">
        <v>14</v>
      </c>
    </row>
    <row r="6" spans="1:8" x14ac:dyDescent="0.25">
      <c r="A6" s="2" t="s">
        <v>9</v>
      </c>
      <c r="B6" s="2">
        <v>32</v>
      </c>
      <c r="C6" s="2">
        <v>500</v>
      </c>
      <c r="D6" s="2">
        <f t="shared" si="0"/>
        <v>514.70000000000005</v>
      </c>
      <c r="E6" s="4">
        <f t="shared" si="1"/>
        <v>35.488565000000001</v>
      </c>
      <c r="F6" s="5">
        <v>2.7252999999999998</v>
      </c>
      <c r="G6" s="1" t="s">
        <v>14</v>
      </c>
    </row>
    <row r="7" spans="1:8" x14ac:dyDescent="0.25">
      <c r="A7" s="2" t="s">
        <v>9</v>
      </c>
      <c r="B7" s="2">
        <v>32</v>
      </c>
      <c r="C7" s="2">
        <v>900</v>
      </c>
      <c r="D7" s="2">
        <f t="shared" si="0"/>
        <v>914.7</v>
      </c>
      <c r="E7" s="4">
        <f t="shared" si="1"/>
        <v>63.068565</v>
      </c>
      <c r="F7" s="5">
        <v>4.8273999999999999</v>
      </c>
      <c r="G7" s="1" t="s">
        <v>14</v>
      </c>
    </row>
    <row r="8" spans="1:8" x14ac:dyDescent="0.25">
      <c r="A8" s="2" t="s">
        <v>9</v>
      </c>
      <c r="B8" s="2">
        <v>32</v>
      </c>
      <c r="C8" s="2">
        <v>1500</v>
      </c>
      <c r="D8" s="2">
        <f t="shared" si="0"/>
        <v>1514.7</v>
      </c>
      <c r="E8" s="4">
        <f t="shared" si="1"/>
        <v>104.438565</v>
      </c>
      <c r="F8" s="5">
        <v>7.7840999999999996</v>
      </c>
      <c r="G8" s="1" t="s">
        <v>14</v>
      </c>
    </row>
    <row r="9" spans="1:8" x14ac:dyDescent="0.25">
      <c r="A9" s="2" t="s">
        <v>10</v>
      </c>
      <c r="B9" s="2">
        <v>32</v>
      </c>
      <c r="C9" s="2">
        <v>0</v>
      </c>
      <c r="D9" s="2">
        <f>C9+14.7</f>
        <v>14.7</v>
      </c>
      <c r="E9" s="4">
        <f>D9*0.06895</f>
        <v>1.0135649999999998</v>
      </c>
      <c r="F9" s="5">
        <v>0.15769</v>
      </c>
      <c r="G9" s="4" t="s">
        <v>13</v>
      </c>
    </row>
    <row r="10" spans="1:8" x14ac:dyDescent="0.25">
      <c r="A10" s="2" t="s">
        <v>10</v>
      </c>
      <c r="B10" s="2">
        <v>32</v>
      </c>
      <c r="C10" s="2">
        <v>50</v>
      </c>
      <c r="D10" s="2">
        <f t="shared" si="0"/>
        <v>64.7</v>
      </c>
      <c r="E10" s="4">
        <f t="shared" si="1"/>
        <v>4.4610649999999996</v>
      </c>
      <c r="F10" s="5">
        <v>0.62985999999999998</v>
      </c>
      <c r="G10" s="4" t="s">
        <v>14</v>
      </c>
    </row>
    <row r="11" spans="1:8" x14ac:dyDescent="0.25">
      <c r="A11" s="2" t="s">
        <v>10</v>
      </c>
      <c r="B11" s="2">
        <v>32</v>
      </c>
      <c r="C11" s="2">
        <v>200</v>
      </c>
      <c r="D11" s="2">
        <f t="shared" si="0"/>
        <v>214.7</v>
      </c>
      <c r="E11" s="4">
        <f t="shared" si="1"/>
        <v>14.803564999999999</v>
      </c>
      <c r="F11" s="5">
        <v>2.35</v>
      </c>
      <c r="G11" s="4" t="s">
        <v>14</v>
      </c>
    </row>
    <row r="12" spans="1:8" x14ac:dyDescent="0.25">
      <c r="A12" s="2" t="s">
        <v>10</v>
      </c>
      <c r="B12" s="2">
        <v>32</v>
      </c>
      <c r="C12" s="2">
        <v>500</v>
      </c>
      <c r="D12" s="2">
        <f t="shared" si="0"/>
        <v>514.70000000000005</v>
      </c>
      <c r="E12" s="4">
        <f t="shared" si="1"/>
        <v>35.488565000000001</v>
      </c>
      <c r="F12" s="5">
        <v>5.4333999999999998</v>
      </c>
      <c r="G12" s="4" t="s">
        <v>14</v>
      </c>
    </row>
    <row r="13" spans="1:8" x14ac:dyDescent="0.25">
      <c r="A13" s="2" t="s">
        <v>10</v>
      </c>
      <c r="B13" s="2">
        <v>32</v>
      </c>
      <c r="C13" s="2">
        <v>900</v>
      </c>
      <c r="D13" s="2">
        <f t="shared" si="0"/>
        <v>914.7</v>
      </c>
      <c r="E13" s="4">
        <f t="shared" si="1"/>
        <v>63.068565</v>
      </c>
      <c r="F13" s="5">
        <v>9.6575000000000006</v>
      </c>
      <c r="G13" s="4" t="s">
        <v>14</v>
      </c>
    </row>
    <row r="14" spans="1:8" x14ac:dyDescent="0.25">
      <c r="A14" s="2" t="s">
        <v>10</v>
      </c>
      <c r="B14" s="2">
        <v>32</v>
      </c>
      <c r="C14" s="2">
        <v>1500</v>
      </c>
      <c r="D14" s="2">
        <f t="shared" si="0"/>
        <v>1514.7</v>
      </c>
      <c r="E14" s="4">
        <f t="shared" si="1"/>
        <v>104.438565</v>
      </c>
      <c r="F14" s="5">
        <v>15.657999999999999</v>
      </c>
      <c r="G14" s="4" t="s">
        <v>14</v>
      </c>
    </row>
    <row r="15" spans="1:8" x14ac:dyDescent="0.25">
      <c r="A15" s="2" t="s">
        <v>11</v>
      </c>
      <c r="B15" s="2">
        <v>32</v>
      </c>
      <c r="C15" s="2">
        <v>0</v>
      </c>
      <c r="D15" s="2">
        <f>C15+14.7</f>
        <v>14.7</v>
      </c>
      <c r="E15" s="4">
        <f>D15*0.06895</f>
        <v>1.0135649999999998</v>
      </c>
      <c r="F15" s="5">
        <v>1.7425999999999999</v>
      </c>
      <c r="G15" s="4" t="s">
        <v>13</v>
      </c>
    </row>
    <row r="16" spans="1:8" x14ac:dyDescent="0.25">
      <c r="A16" s="2" t="s">
        <v>11</v>
      </c>
      <c r="B16" s="2">
        <v>32</v>
      </c>
      <c r="C16" s="2">
        <v>50</v>
      </c>
      <c r="D16" s="2">
        <f t="shared" si="0"/>
        <v>64.7</v>
      </c>
      <c r="E16" s="4">
        <f t="shared" si="1"/>
        <v>4.4610649999999996</v>
      </c>
      <c r="F16" s="5">
        <v>7.07</v>
      </c>
      <c r="G16" s="4" t="s">
        <v>13</v>
      </c>
    </row>
    <row r="17" spans="1:8" x14ac:dyDescent="0.25">
      <c r="A17" s="2" t="s">
        <v>11</v>
      </c>
      <c r="B17" s="2">
        <v>32</v>
      </c>
      <c r="C17" s="2">
        <v>200</v>
      </c>
      <c r="D17" s="2">
        <f t="shared" si="0"/>
        <v>214.7</v>
      </c>
      <c r="E17" s="4">
        <f t="shared" si="1"/>
        <v>14.803564999999999</v>
      </c>
      <c r="F17" s="5">
        <v>28.050999999999998</v>
      </c>
      <c r="G17" s="4" t="s">
        <v>13</v>
      </c>
    </row>
    <row r="18" spans="1:8" x14ac:dyDescent="0.25">
      <c r="A18" s="2" t="s">
        <v>11</v>
      </c>
      <c r="B18" s="2">
        <v>32</v>
      </c>
      <c r="C18" s="2">
        <v>500</v>
      </c>
      <c r="D18" s="2">
        <f t="shared" si="0"/>
        <v>514.70000000000005</v>
      </c>
      <c r="E18" s="4">
        <f t="shared" si="1"/>
        <v>35.488565000000001</v>
      </c>
      <c r="F18" s="5">
        <v>74.382999999999996</v>
      </c>
      <c r="G18" s="4" t="s">
        <v>13</v>
      </c>
    </row>
    <row r="19" spans="1:8" x14ac:dyDescent="0.25">
      <c r="A19" s="2" t="s">
        <v>11</v>
      </c>
      <c r="B19" s="2">
        <v>32</v>
      </c>
      <c r="C19" s="2">
        <v>900</v>
      </c>
      <c r="D19" s="2">
        <f t="shared" si="0"/>
        <v>914.7</v>
      </c>
      <c r="E19" s="4">
        <f t="shared" si="1"/>
        <v>63.068565</v>
      </c>
      <c r="F19" s="5">
        <v>183.27</v>
      </c>
      <c r="G19" s="4" t="s">
        <v>13</v>
      </c>
    </row>
    <row r="20" spans="1:8" x14ac:dyDescent="0.25">
      <c r="A20" s="2" t="s">
        <v>11</v>
      </c>
      <c r="B20" s="2">
        <v>32</v>
      </c>
      <c r="C20" s="2">
        <v>1500</v>
      </c>
      <c r="D20" s="2">
        <f t="shared" si="0"/>
        <v>1514.7</v>
      </c>
      <c r="E20" s="4">
        <f t="shared" si="1"/>
        <v>104.438565</v>
      </c>
      <c r="F20" s="5">
        <v>760.36</v>
      </c>
      <c r="G20" s="4" t="s">
        <v>14</v>
      </c>
    </row>
    <row r="21" spans="1:8" x14ac:dyDescent="0.25">
      <c r="A21" s="2" t="s">
        <v>15</v>
      </c>
      <c r="B21" s="2">
        <v>28</v>
      </c>
      <c r="C21" s="2">
        <v>1500</v>
      </c>
      <c r="D21" s="2">
        <f t="shared" ref="D21" si="2">C21+14.7</f>
        <v>1514.7</v>
      </c>
      <c r="E21" s="4">
        <f t="shared" ref="E21" si="3">D21*0.06895</f>
        <v>104.438565</v>
      </c>
      <c r="F21" s="5">
        <v>115.53</v>
      </c>
      <c r="G21" s="4" t="s">
        <v>14</v>
      </c>
    </row>
    <row r="22" spans="1:8" x14ac:dyDescent="0.25">
      <c r="A22" s="2" t="s">
        <v>16</v>
      </c>
      <c r="B22" s="2">
        <v>28</v>
      </c>
      <c r="C22" s="2">
        <v>116</v>
      </c>
      <c r="D22" s="2">
        <f>C22+14.7</f>
        <v>130.69999999999999</v>
      </c>
      <c r="E22" s="4">
        <f>D22/14.5038</f>
        <v>9.0114314869206691</v>
      </c>
      <c r="F22" s="5">
        <v>49.52</v>
      </c>
      <c r="G22" s="4" t="s">
        <v>13</v>
      </c>
    </row>
    <row r="23" spans="1:8" x14ac:dyDescent="0.25">
      <c r="A23" s="2" t="s">
        <v>16</v>
      </c>
      <c r="B23" s="2">
        <v>28</v>
      </c>
      <c r="C23" s="2">
        <v>246</v>
      </c>
      <c r="D23" s="2">
        <f>C23+14.7</f>
        <v>260.7</v>
      </c>
      <c r="E23" s="4">
        <f>D23/14.5038</f>
        <v>17.97459976006288</v>
      </c>
      <c r="F23" s="5">
        <v>104.6</v>
      </c>
      <c r="G23" s="4" t="s">
        <v>13</v>
      </c>
    </row>
    <row r="24" spans="1:8" x14ac:dyDescent="0.25">
      <c r="A24" s="2" t="s">
        <v>16</v>
      </c>
      <c r="B24" s="2">
        <v>28</v>
      </c>
      <c r="C24" s="2">
        <v>348</v>
      </c>
      <c r="D24" s="2">
        <f>C24+14.7</f>
        <v>362.7</v>
      </c>
      <c r="E24" s="4">
        <f>D24/14.5038</f>
        <v>25.007239482066769</v>
      </c>
      <c r="F24" s="2">
        <v>152.47999999999999</v>
      </c>
      <c r="G24" s="4" t="s">
        <v>13</v>
      </c>
    </row>
    <row r="25" spans="1:8" x14ac:dyDescent="0.25">
      <c r="A25" s="2" t="s">
        <v>16</v>
      </c>
      <c r="B25" s="2">
        <v>28</v>
      </c>
      <c r="C25" s="2">
        <v>450</v>
      </c>
      <c r="D25" s="2">
        <f>C25+14.7</f>
        <v>464.7</v>
      </c>
      <c r="E25" s="4">
        <f>D25/14.5038</f>
        <v>32.039879204070658</v>
      </c>
      <c r="F25" s="2">
        <v>206.21</v>
      </c>
      <c r="G25" s="4" t="s">
        <v>13</v>
      </c>
    </row>
    <row r="26" spans="1:8" x14ac:dyDescent="0.25">
      <c r="A26" s="2" t="s">
        <v>16</v>
      </c>
      <c r="B26" s="2">
        <v>28</v>
      </c>
      <c r="C26" s="2">
        <v>550</v>
      </c>
      <c r="D26" s="2">
        <f>C26+14.7</f>
        <v>564.70000000000005</v>
      </c>
      <c r="E26" s="4">
        <f>D26/14.5038</f>
        <v>38.934624029564667</v>
      </c>
      <c r="F26" s="2">
        <v>267.95999999999998</v>
      </c>
      <c r="G26" s="4" t="s">
        <v>13</v>
      </c>
    </row>
    <row r="27" spans="1:8" x14ac:dyDescent="0.25">
      <c r="A27" s="2" t="s">
        <v>16</v>
      </c>
      <c r="B27" s="2">
        <v>28</v>
      </c>
      <c r="C27" s="2">
        <v>650</v>
      </c>
      <c r="D27" s="2">
        <f>C27+14.7</f>
        <v>664.7</v>
      </c>
      <c r="E27" s="4">
        <f>D27/14.5038</f>
        <v>45.829368855058675</v>
      </c>
      <c r="F27" s="2">
        <v>341.36</v>
      </c>
      <c r="G27" s="4" t="s">
        <v>13</v>
      </c>
    </row>
    <row r="28" spans="1:8" x14ac:dyDescent="0.25">
      <c r="A28" s="2" t="s">
        <v>16</v>
      </c>
      <c r="B28" s="2">
        <v>28</v>
      </c>
      <c r="C28" s="2">
        <v>725</v>
      </c>
      <c r="D28" s="2">
        <f t="shared" ref="D28:D35" si="4">C28+14.7</f>
        <v>739.7</v>
      </c>
      <c r="E28" s="4">
        <f t="shared" ref="E28:E35" si="5">D28/14.5038</f>
        <v>51.000427474179183</v>
      </c>
      <c r="F28" s="2">
        <v>404.55</v>
      </c>
      <c r="G28" s="4" t="s">
        <v>13</v>
      </c>
    </row>
    <row r="29" spans="1:8" x14ac:dyDescent="0.25">
      <c r="A29" s="2" t="s">
        <v>16</v>
      </c>
      <c r="B29" s="2">
        <v>28</v>
      </c>
      <c r="C29" s="2">
        <v>900</v>
      </c>
      <c r="D29" s="2">
        <f t="shared" si="4"/>
        <v>914.7</v>
      </c>
      <c r="E29" s="4">
        <f t="shared" si="5"/>
        <v>63.0662309187937</v>
      </c>
      <c r="F29" s="2">
        <v>636.54</v>
      </c>
      <c r="G29" s="4" t="s">
        <v>14</v>
      </c>
    </row>
    <row r="30" spans="1:8" x14ac:dyDescent="0.25">
      <c r="A30" s="2" t="s">
        <v>17</v>
      </c>
      <c r="B30" s="2">
        <v>28</v>
      </c>
      <c r="C30" s="2">
        <v>1500</v>
      </c>
      <c r="D30" s="2">
        <f t="shared" si="4"/>
        <v>1514.7</v>
      </c>
      <c r="E30" s="2">
        <f t="shared" si="5"/>
        <v>104.43469987175774</v>
      </c>
    </row>
    <row r="31" spans="1:8" x14ac:dyDescent="0.25">
      <c r="A31" s="2" t="s">
        <v>18</v>
      </c>
      <c r="B31" s="2">
        <v>28</v>
      </c>
      <c r="C31" s="2">
        <v>1500</v>
      </c>
      <c r="D31" s="2">
        <f t="shared" si="4"/>
        <v>1514.7</v>
      </c>
      <c r="E31" s="2">
        <f t="shared" si="5"/>
        <v>104.43469987175774</v>
      </c>
    </row>
    <row r="32" spans="1:8" x14ac:dyDescent="0.25">
      <c r="A32" s="2" t="s">
        <v>10</v>
      </c>
      <c r="B32" s="2">
        <v>20</v>
      </c>
      <c r="C32" s="2">
        <v>725</v>
      </c>
      <c r="D32" s="2">
        <f t="shared" si="4"/>
        <v>739.7</v>
      </c>
      <c r="E32" s="2">
        <f t="shared" si="5"/>
        <v>51.000427474179183</v>
      </c>
      <c r="F32" s="2">
        <v>8.1734000000000009</v>
      </c>
      <c r="G32" s="4" t="s">
        <v>14</v>
      </c>
      <c r="H32" t="s">
        <v>19</v>
      </c>
    </row>
    <row r="33" spans="1:7" x14ac:dyDescent="0.25">
      <c r="A33" s="2" t="s">
        <v>10</v>
      </c>
      <c r="B33" s="2">
        <v>20</v>
      </c>
      <c r="C33" s="2">
        <v>900</v>
      </c>
      <c r="D33" s="2">
        <f t="shared" si="4"/>
        <v>914.7</v>
      </c>
      <c r="E33" s="2">
        <f t="shared" si="5"/>
        <v>63.0662309187937</v>
      </c>
      <c r="F33" s="2">
        <v>10.039999999999999</v>
      </c>
      <c r="G33" s="4" t="s">
        <v>14</v>
      </c>
    </row>
    <row r="34" spans="1:7" x14ac:dyDescent="0.25">
      <c r="A34" s="2" t="s">
        <v>16</v>
      </c>
      <c r="B34" s="2">
        <v>20</v>
      </c>
      <c r="C34" s="2">
        <v>725</v>
      </c>
      <c r="D34" s="2">
        <f t="shared" si="4"/>
        <v>739.7</v>
      </c>
      <c r="E34" s="2">
        <f t="shared" si="5"/>
        <v>51.000427474179183</v>
      </c>
      <c r="F34" s="2">
        <v>452.54</v>
      </c>
      <c r="G34" s="2" t="s">
        <v>13</v>
      </c>
    </row>
    <row r="35" spans="1:7" x14ac:dyDescent="0.25">
      <c r="A35" s="2" t="s">
        <v>16</v>
      </c>
      <c r="B35" s="2">
        <v>20</v>
      </c>
      <c r="C35" s="2">
        <v>900</v>
      </c>
      <c r="D35" s="2">
        <f t="shared" si="4"/>
        <v>914.7</v>
      </c>
      <c r="E35" s="2">
        <f t="shared" si="5"/>
        <v>63.0662309187937</v>
      </c>
      <c r="F35" s="2">
        <v>1217.8</v>
      </c>
      <c r="G35" s="4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FDAB9-1057-4D22-B163-11367396A8C7}">
  <dimension ref="A1:H35"/>
  <sheetViews>
    <sheetView topLeftCell="A7" workbookViewId="0">
      <selection activeCell="F30" sqref="F30"/>
    </sheetView>
  </sheetViews>
  <sheetFormatPr defaultRowHeight="15" x14ac:dyDescent="0.25"/>
  <cols>
    <col min="1" max="4" width="9.140625" style="2"/>
    <col min="5" max="5" width="7.42578125" style="2" customWidth="1"/>
    <col min="6" max="6" width="9.28515625" style="2" customWidth="1"/>
    <col min="7" max="7" width="11.28515625" style="2" customWidth="1"/>
  </cols>
  <sheetData>
    <row r="1" spans="1:8" x14ac:dyDescent="0.25">
      <c r="A1" s="2" t="s">
        <v>0</v>
      </c>
      <c r="B1" s="2" t="s">
        <v>1</v>
      </c>
      <c r="C1" s="2" t="s">
        <v>5</v>
      </c>
      <c r="D1" s="2" t="s">
        <v>5</v>
      </c>
      <c r="E1" s="2" t="s">
        <v>5</v>
      </c>
      <c r="F1" s="2" t="s">
        <v>21</v>
      </c>
      <c r="G1" s="2" t="s">
        <v>12</v>
      </c>
    </row>
    <row r="2" spans="1:8" x14ac:dyDescent="0.25">
      <c r="B2" s="3" t="s">
        <v>4</v>
      </c>
      <c r="C2" s="3" t="s">
        <v>3</v>
      </c>
      <c r="D2" s="3" t="s">
        <v>7</v>
      </c>
      <c r="E2" s="3" t="s">
        <v>8</v>
      </c>
      <c r="F2" s="2" t="s">
        <v>2</v>
      </c>
    </row>
    <row r="3" spans="1:8" x14ac:dyDescent="0.25">
      <c r="A3" s="2" t="s">
        <v>9</v>
      </c>
      <c r="B3" s="2">
        <v>32</v>
      </c>
      <c r="C3" s="2">
        <v>0</v>
      </c>
      <c r="D3" s="2">
        <f>C3+14.7</f>
        <v>14.7</v>
      </c>
      <c r="E3" s="4">
        <f>D3*0.06895</f>
        <v>1.0135649999999998</v>
      </c>
      <c r="F3" s="5">
        <f>NIST!F3-Sheet1!F3</f>
        <v>8.0000000000080007E-6</v>
      </c>
      <c r="G3" s="1" t="s">
        <v>13</v>
      </c>
      <c r="H3" t="s">
        <v>20</v>
      </c>
    </row>
    <row r="4" spans="1:8" x14ac:dyDescent="0.25">
      <c r="A4" s="2" t="s">
        <v>9</v>
      </c>
      <c r="B4" s="2">
        <v>32</v>
      </c>
      <c r="C4" s="2">
        <v>50</v>
      </c>
      <c r="D4" s="2">
        <f t="shared" ref="D4:D21" si="0">C4+14.7</f>
        <v>64.7</v>
      </c>
      <c r="E4" s="4">
        <f t="shared" ref="E4:E21" si="1">D4*0.06895</f>
        <v>4.4610649999999996</v>
      </c>
      <c r="F4" s="5">
        <f>NIST!F4-Sheet1!F4</f>
        <v>-4.2000000000003146E-4</v>
      </c>
      <c r="G4" s="4" t="s">
        <v>13</v>
      </c>
    </row>
    <row r="5" spans="1:8" x14ac:dyDescent="0.25">
      <c r="A5" s="2" t="s">
        <v>9</v>
      </c>
      <c r="B5" s="2">
        <v>32</v>
      </c>
      <c r="C5" s="2">
        <v>200</v>
      </c>
      <c r="D5" s="2">
        <f t="shared" si="0"/>
        <v>214.7</v>
      </c>
      <c r="E5" s="4">
        <f t="shared" si="1"/>
        <v>14.803564999999999</v>
      </c>
      <c r="F5" s="5">
        <f>NIST!F5-Sheet1!F5</f>
        <v>-5.3000000000000824E-3</v>
      </c>
      <c r="G5" s="1" t="s">
        <v>14</v>
      </c>
    </row>
    <row r="6" spans="1:8" x14ac:dyDescent="0.25">
      <c r="A6" s="2" t="s">
        <v>9</v>
      </c>
      <c r="B6" s="2">
        <v>32</v>
      </c>
      <c r="C6" s="2">
        <v>500</v>
      </c>
      <c r="D6" s="2">
        <f t="shared" si="0"/>
        <v>514.70000000000005</v>
      </c>
      <c r="E6" s="4">
        <f t="shared" si="1"/>
        <v>35.488565000000001</v>
      </c>
      <c r="F6" s="5">
        <f>NIST!F6-Sheet1!F6</f>
        <v>-2.6699999999999946E-2</v>
      </c>
      <c r="G6" s="1" t="s">
        <v>14</v>
      </c>
    </row>
    <row r="7" spans="1:8" x14ac:dyDescent="0.25">
      <c r="A7" s="2" t="s">
        <v>9</v>
      </c>
      <c r="B7" s="2">
        <v>32</v>
      </c>
      <c r="C7" s="2">
        <v>900</v>
      </c>
      <c r="D7" s="2">
        <f t="shared" si="0"/>
        <v>914.7</v>
      </c>
      <c r="E7" s="4">
        <f t="shared" si="1"/>
        <v>63.068565</v>
      </c>
      <c r="F7" s="5">
        <f>NIST!F7-Sheet1!F7</f>
        <v>-7.8800000000000203E-2</v>
      </c>
      <c r="G7" s="1" t="s">
        <v>14</v>
      </c>
    </row>
    <row r="8" spans="1:8" x14ac:dyDescent="0.25">
      <c r="A8" s="2" t="s">
        <v>9</v>
      </c>
      <c r="B8" s="2">
        <v>32</v>
      </c>
      <c r="C8" s="2">
        <v>1500</v>
      </c>
      <c r="D8" s="2">
        <f t="shared" si="0"/>
        <v>1514.7</v>
      </c>
      <c r="E8" s="4">
        <f t="shared" si="1"/>
        <v>104.438565</v>
      </c>
      <c r="F8" s="5">
        <f>NIST!F8-Sheet1!F8</f>
        <v>-0.18950000000000067</v>
      </c>
      <c r="G8" s="1" t="s">
        <v>14</v>
      </c>
    </row>
    <row r="9" spans="1:8" x14ac:dyDescent="0.25">
      <c r="A9" s="2" t="s">
        <v>10</v>
      </c>
      <c r="B9" s="2">
        <v>32</v>
      </c>
      <c r="C9" s="2">
        <v>0</v>
      </c>
      <c r="D9" s="2">
        <f>C9+14.7</f>
        <v>14.7</v>
      </c>
      <c r="E9" s="4">
        <f>D9*0.06895</f>
        <v>1.0135649999999998</v>
      </c>
      <c r="F9" s="5">
        <f>NIST!F9-Sheet1!F9</f>
        <v>9.0000000000006741E-5</v>
      </c>
      <c r="G9" s="4" t="s">
        <v>13</v>
      </c>
    </row>
    <row r="10" spans="1:8" x14ac:dyDescent="0.25">
      <c r="A10" s="2" t="s">
        <v>10</v>
      </c>
      <c r="B10" s="2">
        <v>32</v>
      </c>
      <c r="C10" s="2">
        <v>50</v>
      </c>
      <c r="D10" s="2">
        <f t="shared" si="0"/>
        <v>64.7</v>
      </c>
      <c r="E10" s="4">
        <f t="shared" si="1"/>
        <v>4.4610649999999996</v>
      </c>
      <c r="F10" s="5">
        <f>NIST!F10-Sheet1!F10</f>
        <v>-4.3999999999999595E-4</v>
      </c>
      <c r="G10" s="4" t="s">
        <v>14</v>
      </c>
    </row>
    <row r="11" spans="1:8" x14ac:dyDescent="0.25">
      <c r="A11" s="2" t="s">
        <v>10</v>
      </c>
      <c r="B11" s="2">
        <v>32</v>
      </c>
      <c r="C11" s="2">
        <v>200</v>
      </c>
      <c r="D11" s="2">
        <f t="shared" si="0"/>
        <v>214.7</v>
      </c>
      <c r="E11" s="4">
        <f t="shared" si="1"/>
        <v>14.803564999999999</v>
      </c>
      <c r="F11" s="5">
        <f>NIST!F11-Sheet1!F11</f>
        <v>-9.100000000000108E-3</v>
      </c>
      <c r="G11" s="4" t="s">
        <v>14</v>
      </c>
    </row>
    <row r="12" spans="1:8" x14ac:dyDescent="0.25">
      <c r="A12" s="2" t="s">
        <v>10</v>
      </c>
      <c r="B12" s="2">
        <v>32</v>
      </c>
      <c r="C12" s="2">
        <v>500</v>
      </c>
      <c r="D12" s="2">
        <f t="shared" si="0"/>
        <v>514.70000000000005</v>
      </c>
      <c r="E12" s="4">
        <f t="shared" si="1"/>
        <v>35.488565000000001</v>
      </c>
      <c r="F12" s="5">
        <f>NIST!F12-Sheet1!F12</f>
        <v>-5.0200000000000244E-2</v>
      </c>
      <c r="G12" s="4" t="s">
        <v>14</v>
      </c>
    </row>
    <row r="13" spans="1:8" x14ac:dyDescent="0.25">
      <c r="A13" s="2" t="s">
        <v>10</v>
      </c>
      <c r="B13" s="2">
        <v>32</v>
      </c>
      <c r="C13" s="2">
        <v>900</v>
      </c>
      <c r="D13" s="2">
        <f t="shared" si="0"/>
        <v>914.7</v>
      </c>
      <c r="E13" s="4">
        <f t="shared" si="1"/>
        <v>63.068565</v>
      </c>
      <c r="F13" s="5">
        <f>NIST!F13-Sheet1!F13</f>
        <v>-0.15119999999999933</v>
      </c>
      <c r="G13" s="4" t="s">
        <v>14</v>
      </c>
    </row>
    <row r="14" spans="1:8" x14ac:dyDescent="0.25">
      <c r="A14" s="2" t="s">
        <v>10</v>
      </c>
      <c r="B14" s="2">
        <v>32</v>
      </c>
      <c r="C14" s="2">
        <v>1500</v>
      </c>
      <c r="D14" s="2">
        <f t="shared" si="0"/>
        <v>1514.7</v>
      </c>
      <c r="E14" s="4">
        <f t="shared" si="1"/>
        <v>104.438565</v>
      </c>
      <c r="F14" s="5">
        <f>NIST!F14-Sheet1!F14</f>
        <v>-0.35890000000000022</v>
      </c>
      <c r="G14" s="4" t="s">
        <v>14</v>
      </c>
    </row>
    <row r="15" spans="1:8" x14ac:dyDescent="0.25">
      <c r="A15" s="2" t="s">
        <v>11</v>
      </c>
      <c r="B15" s="2">
        <v>32</v>
      </c>
      <c r="C15" s="2">
        <v>0</v>
      </c>
      <c r="D15" s="2">
        <f>C15+14.7</f>
        <v>14.7</v>
      </c>
      <c r="E15" s="4">
        <f>D15*0.06895</f>
        <v>1.0135649999999998</v>
      </c>
      <c r="F15" s="5">
        <f>NIST!F15-Sheet1!F15</f>
        <v>-1.0000000000001119E-3</v>
      </c>
      <c r="G15" s="4" t="s">
        <v>13</v>
      </c>
    </row>
    <row r="16" spans="1:8" x14ac:dyDescent="0.25">
      <c r="A16" s="2" t="s">
        <v>11</v>
      </c>
      <c r="B16" s="2">
        <v>32</v>
      </c>
      <c r="C16" s="2">
        <v>50</v>
      </c>
      <c r="D16" s="2">
        <f t="shared" si="0"/>
        <v>64.7</v>
      </c>
      <c r="E16" s="4">
        <f t="shared" si="1"/>
        <v>4.4610649999999996</v>
      </c>
      <c r="F16" s="5">
        <f>NIST!F16-Sheet1!F16</f>
        <v>-1.4499999999999957E-2</v>
      </c>
      <c r="G16" s="4" t="s">
        <v>13</v>
      </c>
    </row>
    <row r="17" spans="1:8" x14ac:dyDescent="0.25">
      <c r="A17" s="2" t="s">
        <v>11</v>
      </c>
      <c r="B17" s="2">
        <v>32</v>
      </c>
      <c r="C17" s="2">
        <v>200</v>
      </c>
      <c r="D17" s="2">
        <f t="shared" si="0"/>
        <v>214.7</v>
      </c>
      <c r="E17" s="4">
        <f t="shared" si="1"/>
        <v>14.803564999999999</v>
      </c>
      <c r="F17" s="5">
        <f>NIST!F17-Sheet1!F17</f>
        <v>-0.21270000000000167</v>
      </c>
      <c r="G17" s="4" t="s">
        <v>13</v>
      </c>
    </row>
    <row r="18" spans="1:8" x14ac:dyDescent="0.25">
      <c r="A18" s="2" t="s">
        <v>11</v>
      </c>
      <c r="B18" s="2">
        <v>32</v>
      </c>
      <c r="C18" s="2">
        <v>500</v>
      </c>
      <c r="D18" s="2">
        <f t="shared" si="0"/>
        <v>514.70000000000005</v>
      </c>
      <c r="E18" s="4">
        <f t="shared" si="1"/>
        <v>35.488565000000001</v>
      </c>
      <c r="F18" s="5">
        <f>NIST!F18-Sheet1!F18</f>
        <v>-1.3111999999999995</v>
      </c>
      <c r="G18" s="4" t="s">
        <v>13</v>
      </c>
    </row>
    <row r="19" spans="1:8" x14ac:dyDescent="0.25">
      <c r="A19" s="2" t="s">
        <v>11</v>
      </c>
      <c r="B19" s="2">
        <v>32</v>
      </c>
      <c r="C19" s="2">
        <v>900</v>
      </c>
      <c r="D19" s="2">
        <f t="shared" si="0"/>
        <v>914.7</v>
      </c>
      <c r="E19" s="4">
        <f t="shared" si="1"/>
        <v>63.068565</v>
      </c>
      <c r="F19" s="5">
        <f>NIST!F19-Sheet1!F19</f>
        <v>-5.2047000000000025</v>
      </c>
      <c r="G19" s="4" t="s">
        <v>13</v>
      </c>
    </row>
    <row r="20" spans="1:8" x14ac:dyDescent="0.25">
      <c r="A20" s="2" t="s">
        <v>11</v>
      </c>
      <c r="B20" s="2">
        <v>32</v>
      </c>
      <c r="C20" s="2">
        <v>1500</v>
      </c>
      <c r="D20" s="2">
        <f t="shared" si="0"/>
        <v>1514.7</v>
      </c>
      <c r="E20" s="4">
        <f t="shared" si="1"/>
        <v>104.438565</v>
      </c>
      <c r="F20" s="5">
        <f>NIST!F20-Sheet1!F20</f>
        <v>50.844400000000064</v>
      </c>
      <c r="G20" s="4" t="s">
        <v>14</v>
      </c>
    </row>
    <row r="21" spans="1:8" x14ac:dyDescent="0.25">
      <c r="A21" s="2" t="s">
        <v>15</v>
      </c>
      <c r="B21" s="2">
        <v>28</v>
      </c>
      <c r="C21" s="2">
        <v>1500</v>
      </c>
      <c r="D21" s="2">
        <f t="shared" si="0"/>
        <v>1514.7</v>
      </c>
      <c r="E21" s="4">
        <f t="shared" si="1"/>
        <v>104.438565</v>
      </c>
      <c r="F21" s="5">
        <f>NIST!F21-Sheet1!F21</f>
        <v>-1.9821000000000026</v>
      </c>
      <c r="G21" s="4" t="s">
        <v>14</v>
      </c>
    </row>
    <row r="22" spans="1:8" x14ac:dyDescent="0.25">
      <c r="A22" s="2" t="s">
        <v>16</v>
      </c>
      <c r="B22" s="2">
        <v>28</v>
      </c>
      <c r="C22" s="2">
        <v>116</v>
      </c>
      <c r="D22" s="2">
        <f>C22+14.7</f>
        <v>130.69999999999999</v>
      </c>
      <c r="E22" s="4">
        <f>D22/14.5038</f>
        <v>9.0114314869206691</v>
      </c>
      <c r="F22" s="5">
        <f>NIST!F22-Sheet1!F22</f>
        <v>-0.36499999999999488</v>
      </c>
      <c r="G22" s="4" t="s">
        <v>13</v>
      </c>
    </row>
    <row r="23" spans="1:8" x14ac:dyDescent="0.25">
      <c r="A23" s="2" t="s">
        <v>16</v>
      </c>
      <c r="B23" s="2">
        <v>28</v>
      </c>
      <c r="C23" s="2">
        <v>246</v>
      </c>
      <c r="D23" s="2">
        <f>C23+14.7</f>
        <v>260.7</v>
      </c>
      <c r="E23" s="4">
        <f>D23/14.5038</f>
        <v>17.97459976006288</v>
      </c>
      <c r="F23" s="5">
        <f>NIST!F23-Sheet1!F23</f>
        <v>-1.5506000000000029</v>
      </c>
      <c r="G23" s="4" t="s">
        <v>13</v>
      </c>
    </row>
    <row r="24" spans="1:8" x14ac:dyDescent="0.25">
      <c r="A24" s="2" t="s">
        <v>16</v>
      </c>
      <c r="B24" s="2">
        <v>28</v>
      </c>
      <c r="C24" s="2">
        <v>348</v>
      </c>
      <c r="D24" s="2">
        <f>C24+14.7</f>
        <v>362.7</v>
      </c>
      <c r="E24" s="4">
        <f>D24/14.5038</f>
        <v>25.007239482066769</v>
      </c>
      <c r="F24" s="5">
        <f>NIST!F24-Sheet1!F24</f>
        <v>-3.1355000000000075</v>
      </c>
      <c r="G24" s="4" t="s">
        <v>13</v>
      </c>
    </row>
    <row r="25" spans="1:8" x14ac:dyDescent="0.25">
      <c r="A25" s="2" t="s">
        <v>16</v>
      </c>
      <c r="B25" s="2">
        <v>28</v>
      </c>
      <c r="C25" s="2">
        <v>450</v>
      </c>
      <c r="D25" s="2">
        <f>C25+14.7</f>
        <v>464.7</v>
      </c>
      <c r="E25" s="4">
        <f>D25/14.5038</f>
        <v>32.039879204070658</v>
      </c>
      <c r="F25" s="5">
        <f>NIST!F25-Sheet1!F25</f>
        <v>-5.4385000000000048</v>
      </c>
      <c r="G25" s="4" t="s">
        <v>13</v>
      </c>
    </row>
    <row r="26" spans="1:8" x14ac:dyDescent="0.25">
      <c r="A26" s="2" t="s">
        <v>16</v>
      </c>
      <c r="B26" s="2">
        <v>28</v>
      </c>
      <c r="C26" s="2">
        <v>550</v>
      </c>
      <c r="D26" s="2">
        <f>C26+14.7</f>
        <v>564.70000000000005</v>
      </c>
      <c r="E26" s="4">
        <f>D26/14.5038</f>
        <v>38.934624029564667</v>
      </c>
      <c r="F26" s="5">
        <f>NIST!F26-Sheet1!F26</f>
        <v>-8.5721000000000345</v>
      </c>
      <c r="G26" s="4" t="s">
        <v>13</v>
      </c>
    </row>
    <row r="27" spans="1:8" x14ac:dyDescent="0.25">
      <c r="A27" s="2" t="s">
        <v>16</v>
      </c>
      <c r="B27" s="2">
        <v>28</v>
      </c>
      <c r="C27" s="2">
        <v>650</v>
      </c>
      <c r="D27" s="2">
        <f>C27+14.7</f>
        <v>664.7</v>
      </c>
      <c r="E27" s="4">
        <f>D27/14.5038</f>
        <v>45.829368855058675</v>
      </c>
      <c r="F27" s="5">
        <f>NIST!F27-Sheet1!F27</f>
        <v>-12.740199999999959</v>
      </c>
      <c r="G27" s="4" t="s">
        <v>13</v>
      </c>
    </row>
    <row r="28" spans="1:8" x14ac:dyDescent="0.25">
      <c r="A28" s="2" t="s">
        <v>16</v>
      </c>
      <c r="B28" s="2">
        <v>28</v>
      </c>
      <c r="C28" s="2">
        <v>725</v>
      </c>
      <c r="D28" s="2">
        <f t="shared" ref="D28:D35" si="2">C28+14.7</f>
        <v>739.7</v>
      </c>
      <c r="E28" s="4">
        <f t="shared" ref="E28:E35" si="3">D28/14.5038</f>
        <v>51.000427474179183</v>
      </c>
      <c r="F28" s="5">
        <f>NIST!F28-Sheet1!F28</f>
        <v>-16.491600000000005</v>
      </c>
      <c r="G28" s="4" t="s">
        <v>13</v>
      </c>
    </row>
    <row r="29" spans="1:8" x14ac:dyDescent="0.25">
      <c r="A29" s="2" t="s">
        <v>16</v>
      </c>
      <c r="B29" s="2">
        <v>28</v>
      </c>
      <c r="C29" s="2">
        <v>900</v>
      </c>
      <c r="D29" s="2">
        <f t="shared" si="2"/>
        <v>914.7</v>
      </c>
      <c r="E29" s="4">
        <f t="shared" si="3"/>
        <v>63.0662309187937</v>
      </c>
      <c r="F29" s="5">
        <f>NIST!F29-Sheet1!F29</f>
        <v>-27.747799999999984</v>
      </c>
      <c r="G29" s="4" t="s">
        <v>14</v>
      </c>
    </row>
    <row r="30" spans="1:8" x14ac:dyDescent="0.25">
      <c r="A30" s="2" t="s">
        <v>17</v>
      </c>
      <c r="B30" s="2">
        <v>28</v>
      </c>
      <c r="C30" s="2">
        <v>1500</v>
      </c>
      <c r="D30" s="2">
        <f t="shared" si="2"/>
        <v>1514.7</v>
      </c>
      <c r="E30" s="2">
        <f t="shared" si="3"/>
        <v>104.43469987175774</v>
      </c>
    </row>
    <row r="31" spans="1:8" x14ac:dyDescent="0.25">
      <c r="A31" s="2" t="s">
        <v>18</v>
      </c>
      <c r="B31" s="2">
        <v>28</v>
      </c>
      <c r="C31" s="2">
        <v>1500</v>
      </c>
      <c r="D31" s="2">
        <f t="shared" si="2"/>
        <v>1514.7</v>
      </c>
      <c r="E31" s="2">
        <f t="shared" si="3"/>
        <v>104.43469987175774</v>
      </c>
      <c r="F31" s="5"/>
    </row>
    <row r="32" spans="1:8" x14ac:dyDescent="0.25">
      <c r="A32" s="2" t="s">
        <v>10</v>
      </c>
      <c r="B32" s="2">
        <v>20</v>
      </c>
      <c r="C32" s="2">
        <v>725</v>
      </c>
      <c r="D32" s="2">
        <f t="shared" si="2"/>
        <v>739.7</v>
      </c>
      <c r="E32" s="2">
        <f t="shared" si="3"/>
        <v>51.000427474179183</v>
      </c>
      <c r="F32" s="5">
        <f>NIST!F32-Sheet1!F32</f>
        <v>-0.11329999999999885</v>
      </c>
      <c r="G32" s="4" t="s">
        <v>14</v>
      </c>
      <c r="H32" t="s">
        <v>19</v>
      </c>
    </row>
    <row r="33" spans="1:7" x14ac:dyDescent="0.25">
      <c r="A33" s="2" t="s">
        <v>10</v>
      </c>
      <c r="B33" s="2">
        <v>20</v>
      </c>
      <c r="C33" s="2">
        <v>900</v>
      </c>
      <c r="D33" s="2">
        <f t="shared" si="2"/>
        <v>914.7</v>
      </c>
      <c r="E33" s="2">
        <f t="shared" si="3"/>
        <v>63.0662309187937</v>
      </c>
      <c r="F33" s="5">
        <f>NIST!F33-Sheet1!F33</f>
        <v>-0.16660000000000075</v>
      </c>
      <c r="G33" s="4" t="s">
        <v>14</v>
      </c>
    </row>
    <row r="34" spans="1:7" x14ac:dyDescent="0.25">
      <c r="A34" s="2" t="s">
        <v>16</v>
      </c>
      <c r="B34" s="2">
        <v>20</v>
      </c>
      <c r="C34" s="2">
        <v>725</v>
      </c>
      <c r="D34" s="2">
        <f t="shared" si="2"/>
        <v>739.7</v>
      </c>
      <c r="E34" s="2">
        <f t="shared" si="3"/>
        <v>51.000427474179183</v>
      </c>
      <c r="F34" s="5">
        <f>NIST!F34-Sheet1!F34</f>
        <v>-18.631399999999985</v>
      </c>
      <c r="G34" s="2" t="s">
        <v>13</v>
      </c>
    </row>
    <row r="35" spans="1:7" x14ac:dyDescent="0.25">
      <c r="A35" s="2" t="s">
        <v>16</v>
      </c>
      <c r="B35" s="2">
        <v>20</v>
      </c>
      <c r="C35" s="2">
        <v>900</v>
      </c>
      <c r="D35" s="2">
        <f t="shared" si="2"/>
        <v>914.7</v>
      </c>
      <c r="E35" s="2">
        <f t="shared" si="3"/>
        <v>63.0662309187937</v>
      </c>
      <c r="F35" s="5">
        <f>NIST!F35-Sheet1!F35</f>
        <v>69.099999999999909</v>
      </c>
      <c r="G35" s="4" t="s">
        <v>14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NIST</vt:lpstr>
      <vt:lpstr>Diff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Ianna Gomez Mendez</dc:creator>
  <cp:lastModifiedBy>Gomez Mendez, Ianna</cp:lastModifiedBy>
  <dcterms:created xsi:type="dcterms:W3CDTF">2015-06-05T18:17:20Z</dcterms:created>
  <dcterms:modified xsi:type="dcterms:W3CDTF">2026-02-05T19:41:58Z</dcterms:modified>
</cp:coreProperties>
</file>