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F-Dispersion-Exps/input/"/>
    </mc:Choice>
  </mc:AlternateContent>
  <xr:revisionPtr revIDLastSave="447" documentId="11_F25DC773A252ABDACC1048B8D1997AFC5ADE58F1" xr6:coauthVersionLast="47" xr6:coauthVersionMax="47" xr10:uidLastSave="{163659DD-EFFC-48EA-9CB7-851F6A4AE764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E33" i="1" s="1"/>
  <c r="F33" i="1" s="1"/>
  <c r="E32" i="1"/>
  <c r="F32" i="1" s="1"/>
  <c r="D32" i="1"/>
  <c r="D38" i="1"/>
  <c r="E38" i="1" s="1"/>
  <c r="F38" i="1" s="1"/>
  <c r="D39" i="1"/>
  <c r="E39" i="1" s="1"/>
  <c r="F39" i="1" s="1"/>
  <c r="D40" i="1"/>
  <c r="E40" i="1" s="1"/>
  <c r="F40" i="1" s="1"/>
  <c r="D37" i="1"/>
  <c r="E37" i="1" s="1"/>
  <c r="D36" i="1"/>
  <c r="E36" i="1" s="1"/>
  <c r="F36" i="1" s="1"/>
  <c r="D35" i="1"/>
  <c r="E35" i="1" s="1"/>
  <c r="F35" i="1" s="1"/>
  <c r="D34" i="1"/>
  <c r="E34" i="1" s="1"/>
  <c r="F34" i="1" s="1"/>
  <c r="D31" i="1"/>
  <c r="E31" i="1" s="1"/>
  <c r="F31" i="1" s="1"/>
  <c r="D30" i="1"/>
  <c r="E30" i="1" s="1"/>
  <c r="F30" i="1" s="1"/>
  <c r="D29" i="1"/>
  <c r="E29" i="1" s="1"/>
  <c r="F29" i="1" s="1"/>
  <c r="D28" i="1"/>
  <c r="E28" i="1" s="1"/>
  <c r="F28" i="1" s="1"/>
  <c r="D27" i="1"/>
  <c r="E27" i="1" s="1"/>
  <c r="F27" i="1" s="1"/>
  <c r="D26" i="1"/>
  <c r="E26" i="1" s="1"/>
  <c r="F26" i="1" s="1"/>
  <c r="D25" i="1"/>
  <c r="E25" i="1" s="1"/>
  <c r="F25" i="1" s="1"/>
  <c r="D24" i="1"/>
  <c r="E24" i="1" s="1"/>
  <c r="F24" i="1" s="1"/>
  <c r="D23" i="1"/>
  <c r="E23" i="1" s="1"/>
  <c r="F23" i="1" s="1"/>
  <c r="D22" i="1"/>
  <c r="E22" i="1" s="1"/>
  <c r="F22" i="1" s="1"/>
  <c r="D21" i="1"/>
  <c r="E21" i="1" s="1"/>
  <c r="F21" i="1" s="1"/>
  <c r="D18" i="1"/>
  <c r="E18" i="1" s="1"/>
  <c r="F18" i="1" s="1"/>
  <c r="D12" i="1"/>
  <c r="E12" i="1" s="1"/>
  <c r="F12" i="1" s="1"/>
  <c r="D6" i="1"/>
  <c r="E6" i="1" s="1"/>
  <c r="F6" i="1" s="1"/>
  <c r="D20" i="1"/>
  <c r="E20" i="1" s="1"/>
  <c r="F20" i="1" s="1"/>
  <c r="D19" i="1"/>
  <c r="E19" i="1" s="1"/>
  <c r="F19" i="1" s="1"/>
  <c r="D17" i="1"/>
  <c r="E17" i="1" s="1"/>
  <c r="F17" i="1" s="1"/>
  <c r="D16" i="1"/>
  <c r="E16" i="1" s="1"/>
  <c r="F16" i="1" s="1"/>
  <c r="D15" i="1"/>
  <c r="E15" i="1" s="1"/>
  <c r="F15" i="1" s="1"/>
  <c r="D14" i="1"/>
  <c r="E14" i="1" s="1"/>
  <c r="F14" i="1" s="1"/>
  <c r="D13" i="1"/>
  <c r="E13" i="1" s="1"/>
  <c r="F13" i="1" s="1"/>
  <c r="D11" i="1"/>
  <c r="E11" i="1" s="1"/>
  <c r="F11" i="1" s="1"/>
  <c r="D10" i="1"/>
  <c r="E10" i="1" s="1"/>
  <c r="F10" i="1" s="1"/>
  <c r="D9" i="1"/>
  <c r="E9" i="1" s="1"/>
  <c r="F9" i="1" s="1"/>
  <c r="D4" i="1"/>
  <c r="E4" i="1" s="1"/>
  <c r="F4" i="1" s="1"/>
  <c r="D5" i="1"/>
  <c r="E5" i="1" s="1"/>
  <c r="F5" i="1" s="1"/>
  <c r="D7" i="1"/>
  <c r="E7" i="1" s="1"/>
  <c r="F7" i="1" s="1"/>
  <c r="D8" i="1"/>
  <c r="E8" i="1" s="1"/>
  <c r="F8" i="1" s="1"/>
  <c r="D3" i="1"/>
  <c r="E3" i="1" s="1"/>
  <c r="F3" i="1" s="1"/>
  <c r="F37" i="1" l="1"/>
</calcChain>
</file>

<file path=xl/sharedStrings.xml><?xml version="1.0" encoding="utf-8"?>
<sst xmlns="http://schemas.openxmlformats.org/spreadsheetml/2006/main" count="87" uniqueCount="22">
  <si>
    <t>Fluid</t>
  </si>
  <si>
    <t>Temp</t>
  </si>
  <si>
    <t>kg/m3</t>
  </si>
  <si>
    <t>psig</t>
  </si>
  <si>
    <t>°C</t>
  </si>
  <si>
    <t>P</t>
  </si>
  <si>
    <t>dens</t>
  </si>
  <si>
    <t>psia</t>
  </si>
  <si>
    <t>bar</t>
  </si>
  <si>
    <t>H2</t>
  </si>
  <si>
    <t>He</t>
  </si>
  <si>
    <t>CO2</t>
  </si>
  <si>
    <t>Phase</t>
  </si>
  <si>
    <t>vapor</t>
  </si>
  <si>
    <t>supercritical</t>
  </si>
  <si>
    <t>N2</t>
  </si>
  <si>
    <t>Xe</t>
  </si>
  <si>
    <t>H250CO2</t>
  </si>
  <si>
    <t>H275CO2</t>
  </si>
  <si>
    <t>Z</t>
  </si>
  <si>
    <t>Mpa</t>
  </si>
  <si>
    <t>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</si>
</sst>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6" formatCode="0.0"/>
    <numFmt numFmtId="167" formatCode="0.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wrapText="1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7" workbookViewId="0">
      <selection activeCell="M29" sqref="M29"/>
    </sheetView>
  </sheetViews>
  <sheetFormatPr defaultRowHeight="15" x14ac:dyDescent="0.25"/>
  <cols>
    <col min="1" max="4" width="8.85546875" style="2"/>
    <col min="5" max="6" width="7.42578125" style="2" customWidth="1"/>
    <col min="7" max="8" width="9.28515625" style="2" customWidth="1"/>
    <col min="9" max="9" width="11.28515625" style="2" customWidth="1"/>
  </cols>
  <sheetData>
    <row r="1" spans="1:9" x14ac:dyDescent="0.25">
      <c r="A1" s="2" t="s">
        <v>0</v>
      </c>
      <c r="B1" s="2" t="s">
        <v>1</v>
      </c>
      <c r="C1" s="2" t="s">
        <v>5</v>
      </c>
      <c r="D1" s="2" t="s">
        <v>5</v>
      </c>
      <c r="E1" s="2" t="s">
        <v>5</v>
      </c>
      <c r="F1" s="2" t="s">
        <v>5</v>
      </c>
      <c r="G1" s="2" t="s">
        <v>6</v>
      </c>
      <c r="H1" s="2" t="s">
        <v>19</v>
      </c>
      <c r="I1" s="2" t="s">
        <v>12</v>
      </c>
    </row>
    <row r="2" spans="1:9" x14ac:dyDescent="0.25">
      <c r="B2" s="3" t="s">
        <v>4</v>
      </c>
      <c r="C2" s="3" t="s">
        <v>3</v>
      </c>
      <c r="D2" s="3" t="s">
        <v>7</v>
      </c>
      <c r="E2" s="3" t="s">
        <v>8</v>
      </c>
      <c r="F2" s="3" t="s">
        <v>20</v>
      </c>
      <c r="G2" s="2" t="s">
        <v>2</v>
      </c>
    </row>
    <row r="3" spans="1:9" x14ac:dyDescent="0.25">
      <c r="A3" s="2" t="s">
        <v>9</v>
      </c>
      <c r="B3" s="2">
        <v>32</v>
      </c>
      <c r="C3" s="2">
        <v>0</v>
      </c>
      <c r="D3" s="2">
        <f>C3+14.7</f>
        <v>14.7</v>
      </c>
      <c r="E3" s="4">
        <f>D3*0.06895</f>
        <v>1.0135649999999998</v>
      </c>
      <c r="F3" s="5">
        <f>E3*0.1</f>
        <v>0.10135649999999999</v>
      </c>
      <c r="G3" s="6">
        <v>7.9399999999999998E-2</v>
      </c>
      <c r="H3" s="6">
        <v>1.0003</v>
      </c>
      <c r="I3" s="1" t="s">
        <v>13</v>
      </c>
    </row>
    <row r="4" spans="1:9" x14ac:dyDescent="0.25">
      <c r="A4" s="2" t="s">
        <v>9</v>
      </c>
      <c r="B4" s="2">
        <v>32</v>
      </c>
      <c r="C4" s="2">
        <v>50</v>
      </c>
      <c r="D4" s="2">
        <f t="shared" ref="D4:D21" si="0">C4+14.7</f>
        <v>64.7</v>
      </c>
      <c r="E4" s="4">
        <f t="shared" ref="E4:E21" si="1">D4*0.06895</f>
        <v>4.4610649999999996</v>
      </c>
      <c r="F4" s="5">
        <f t="shared" ref="F4:F37" si="2">E4*0.1</f>
        <v>0.44610649999999996</v>
      </c>
      <c r="G4" s="6">
        <v>0.3175</v>
      </c>
      <c r="H4" s="6">
        <v>1.0011000000000001</v>
      </c>
      <c r="I4" s="4" t="s">
        <v>13</v>
      </c>
    </row>
    <row r="5" spans="1:9" x14ac:dyDescent="0.25">
      <c r="A5" s="2" t="s">
        <v>9</v>
      </c>
      <c r="B5" s="2">
        <v>32</v>
      </c>
      <c r="C5" s="2">
        <v>200</v>
      </c>
      <c r="D5" s="2">
        <f t="shared" si="0"/>
        <v>214.7</v>
      </c>
      <c r="E5" s="4">
        <f t="shared" si="1"/>
        <v>14.803564999999999</v>
      </c>
      <c r="F5" s="5">
        <f t="shared" si="2"/>
        <v>1.4803565000000001</v>
      </c>
      <c r="G5" s="6">
        <v>1.1868000000000001</v>
      </c>
      <c r="H5" s="6">
        <v>1.0043</v>
      </c>
      <c r="I5" s="1" t="s">
        <v>14</v>
      </c>
    </row>
    <row r="6" spans="1:9" x14ac:dyDescent="0.25">
      <c r="A6" s="2" t="s">
        <v>9</v>
      </c>
      <c r="B6" s="2">
        <v>32</v>
      </c>
      <c r="C6" s="2">
        <v>500</v>
      </c>
      <c r="D6" s="2">
        <f t="shared" si="0"/>
        <v>514.70000000000005</v>
      </c>
      <c r="E6" s="4">
        <f t="shared" si="1"/>
        <v>35.488565000000001</v>
      </c>
      <c r="F6" s="5">
        <f t="shared" si="2"/>
        <v>3.5488565000000003</v>
      </c>
      <c r="G6" s="6">
        <v>2.7519999999999998</v>
      </c>
      <c r="H6" s="6">
        <v>1.0105999999999999</v>
      </c>
      <c r="I6" s="1" t="s">
        <v>14</v>
      </c>
    </row>
    <row r="7" spans="1:9" x14ac:dyDescent="0.25">
      <c r="A7" s="2" t="s">
        <v>9</v>
      </c>
      <c r="B7" s="2">
        <v>32</v>
      </c>
      <c r="C7" s="2">
        <v>900</v>
      </c>
      <c r="D7" s="2">
        <f t="shared" si="0"/>
        <v>914.7</v>
      </c>
      <c r="E7" s="4">
        <f t="shared" si="1"/>
        <v>63.068565</v>
      </c>
      <c r="F7" s="5">
        <f t="shared" si="2"/>
        <v>6.3068565000000003</v>
      </c>
      <c r="G7" s="6">
        <v>4.9062000000000001</v>
      </c>
      <c r="H7" s="6">
        <v>1.0204</v>
      </c>
      <c r="I7" s="1" t="s">
        <v>14</v>
      </c>
    </row>
    <row r="8" spans="1:9" x14ac:dyDescent="0.25">
      <c r="A8" s="2" t="s">
        <v>9</v>
      </c>
      <c r="B8" s="2">
        <v>32</v>
      </c>
      <c r="C8" s="2">
        <v>1500</v>
      </c>
      <c r="D8" s="2">
        <f t="shared" si="0"/>
        <v>1514.7</v>
      </c>
      <c r="E8" s="4">
        <f t="shared" si="1"/>
        <v>104.438565</v>
      </c>
      <c r="F8" s="5">
        <f t="shared" si="2"/>
        <v>10.443856500000001</v>
      </c>
      <c r="G8" s="6">
        <v>7.9736000000000002</v>
      </c>
      <c r="H8" s="6">
        <v>1.0364</v>
      </c>
      <c r="I8" s="1" t="s">
        <v>14</v>
      </c>
    </row>
    <row r="9" spans="1:9" x14ac:dyDescent="0.25">
      <c r="A9" s="2" t="s">
        <v>10</v>
      </c>
      <c r="B9" s="2">
        <v>32</v>
      </c>
      <c r="C9" s="2">
        <v>0</v>
      </c>
      <c r="D9" s="2">
        <f>C9+14.7</f>
        <v>14.7</v>
      </c>
      <c r="E9" s="4">
        <f>D9*0.06895</f>
        <v>1.0135649999999998</v>
      </c>
      <c r="F9" s="5">
        <f t="shared" si="2"/>
        <v>0.10135649999999999</v>
      </c>
      <c r="G9" s="6">
        <v>0.15759999999999999</v>
      </c>
      <c r="H9" s="6">
        <v>1.0002</v>
      </c>
      <c r="I9" s="4" t="s">
        <v>13</v>
      </c>
    </row>
    <row r="10" spans="1:9" x14ac:dyDescent="0.25">
      <c r="A10" s="2" t="s">
        <v>10</v>
      </c>
      <c r="B10" s="2">
        <v>32</v>
      </c>
      <c r="C10" s="2">
        <v>50</v>
      </c>
      <c r="D10" s="2">
        <f t="shared" si="0"/>
        <v>64.7</v>
      </c>
      <c r="E10" s="4">
        <f t="shared" si="1"/>
        <v>4.4610649999999996</v>
      </c>
      <c r="F10" s="5">
        <f t="shared" si="2"/>
        <v>0.44610649999999996</v>
      </c>
      <c r="G10" s="6">
        <v>0.63029999999999997</v>
      </c>
      <c r="H10" s="6">
        <v>1.0005999999999999</v>
      </c>
      <c r="I10" s="4" t="s">
        <v>14</v>
      </c>
    </row>
    <row r="11" spans="1:9" x14ac:dyDescent="0.25">
      <c r="A11" s="2" t="s">
        <v>10</v>
      </c>
      <c r="B11" s="2">
        <v>32</v>
      </c>
      <c r="C11" s="2">
        <v>200</v>
      </c>
      <c r="D11" s="2">
        <f t="shared" si="0"/>
        <v>214.7</v>
      </c>
      <c r="E11" s="4">
        <f t="shared" si="1"/>
        <v>14.803564999999999</v>
      </c>
      <c r="F11" s="5">
        <f t="shared" si="2"/>
        <v>1.4803565000000001</v>
      </c>
      <c r="G11" s="6">
        <v>2.3591000000000002</v>
      </c>
      <c r="H11" s="6">
        <v>1.0024999999999999</v>
      </c>
      <c r="I11" s="4" t="s">
        <v>14</v>
      </c>
    </row>
    <row r="12" spans="1:9" x14ac:dyDescent="0.25">
      <c r="A12" s="2" t="s">
        <v>10</v>
      </c>
      <c r="B12" s="2">
        <v>32</v>
      </c>
      <c r="C12" s="2">
        <v>500</v>
      </c>
      <c r="D12" s="2">
        <f t="shared" si="0"/>
        <v>514.70000000000005</v>
      </c>
      <c r="E12" s="4">
        <f t="shared" si="1"/>
        <v>35.488565000000001</v>
      </c>
      <c r="F12" s="5">
        <f t="shared" si="2"/>
        <v>3.5488565000000003</v>
      </c>
      <c r="G12" s="6">
        <v>5.4836</v>
      </c>
      <c r="H12" s="6">
        <v>1.0063</v>
      </c>
      <c r="I12" s="4" t="s">
        <v>14</v>
      </c>
    </row>
    <row r="13" spans="1:9" x14ac:dyDescent="0.25">
      <c r="A13" s="2" t="s">
        <v>10</v>
      </c>
      <c r="B13" s="2">
        <v>32</v>
      </c>
      <c r="C13" s="2">
        <v>900</v>
      </c>
      <c r="D13" s="2">
        <f t="shared" si="0"/>
        <v>914.7</v>
      </c>
      <c r="E13" s="4">
        <f t="shared" si="1"/>
        <v>63.068565</v>
      </c>
      <c r="F13" s="5">
        <f t="shared" si="2"/>
        <v>6.3068565000000003</v>
      </c>
      <c r="G13" s="6">
        <v>9.8087</v>
      </c>
      <c r="H13" s="6">
        <v>1.0126999999999999</v>
      </c>
      <c r="I13" s="4" t="s">
        <v>14</v>
      </c>
    </row>
    <row r="14" spans="1:9" x14ac:dyDescent="0.25">
      <c r="A14" s="2" t="s">
        <v>10</v>
      </c>
      <c r="B14" s="2">
        <v>32</v>
      </c>
      <c r="C14" s="2">
        <v>1500</v>
      </c>
      <c r="D14" s="2">
        <f t="shared" si="0"/>
        <v>1514.7</v>
      </c>
      <c r="E14" s="4">
        <f t="shared" si="1"/>
        <v>104.438565</v>
      </c>
      <c r="F14" s="5">
        <f t="shared" si="2"/>
        <v>10.443856500000001</v>
      </c>
      <c r="G14" s="6">
        <v>16.0169</v>
      </c>
      <c r="H14" s="6">
        <v>1.0237000000000001</v>
      </c>
      <c r="I14" s="4" t="s">
        <v>14</v>
      </c>
    </row>
    <row r="15" spans="1:9" x14ac:dyDescent="0.25">
      <c r="A15" s="2" t="s">
        <v>11</v>
      </c>
      <c r="B15" s="2">
        <v>32</v>
      </c>
      <c r="C15" s="2">
        <v>0</v>
      </c>
      <c r="D15" s="2">
        <f>C15+14.7</f>
        <v>14.7</v>
      </c>
      <c r="E15" s="4">
        <f>D15*0.06895</f>
        <v>1.0135649999999998</v>
      </c>
      <c r="F15" s="5">
        <f t="shared" si="2"/>
        <v>0.10135649999999999</v>
      </c>
      <c r="G15" s="6">
        <v>1.7436</v>
      </c>
      <c r="H15" s="6">
        <v>0.99490000000000001</v>
      </c>
      <c r="I15" s="4" t="s">
        <v>13</v>
      </c>
    </row>
    <row r="16" spans="1:9" x14ac:dyDescent="0.25">
      <c r="A16" s="2" t="s">
        <v>11</v>
      </c>
      <c r="B16" s="2">
        <v>32</v>
      </c>
      <c r="C16" s="2">
        <v>50</v>
      </c>
      <c r="D16" s="2">
        <f t="shared" si="0"/>
        <v>64.7</v>
      </c>
      <c r="E16" s="4">
        <f t="shared" si="1"/>
        <v>4.4610649999999996</v>
      </c>
      <c r="F16" s="5">
        <f t="shared" si="2"/>
        <v>0.44610649999999996</v>
      </c>
      <c r="G16" s="6">
        <v>7.0845000000000002</v>
      </c>
      <c r="H16" s="6">
        <v>0.97940000000000005</v>
      </c>
      <c r="I16" s="4" t="s">
        <v>13</v>
      </c>
    </row>
    <row r="17" spans="1:9" x14ac:dyDescent="0.25">
      <c r="A17" s="2" t="s">
        <v>11</v>
      </c>
      <c r="B17" s="2">
        <v>32</v>
      </c>
      <c r="C17" s="2">
        <v>200</v>
      </c>
      <c r="D17" s="2">
        <f t="shared" si="0"/>
        <v>214.7</v>
      </c>
      <c r="E17" s="4">
        <f t="shared" si="1"/>
        <v>14.803564999999999</v>
      </c>
      <c r="F17" s="5">
        <f t="shared" si="2"/>
        <v>1.4803565000000001</v>
      </c>
      <c r="G17" s="6">
        <v>28.2637</v>
      </c>
      <c r="H17" s="6">
        <v>0.92059999999999997</v>
      </c>
      <c r="I17" s="4" t="s">
        <v>13</v>
      </c>
    </row>
    <row r="18" spans="1:9" x14ac:dyDescent="0.25">
      <c r="A18" s="2" t="s">
        <v>11</v>
      </c>
      <c r="B18" s="2">
        <v>32</v>
      </c>
      <c r="C18" s="2">
        <v>500</v>
      </c>
      <c r="D18" s="2">
        <f t="shared" si="0"/>
        <v>514.70000000000005</v>
      </c>
      <c r="E18" s="4">
        <f t="shared" si="1"/>
        <v>35.488565000000001</v>
      </c>
      <c r="F18" s="5">
        <f t="shared" si="2"/>
        <v>3.5488565000000003</v>
      </c>
      <c r="G18" s="6">
        <v>75.694199999999995</v>
      </c>
      <c r="H18" s="6">
        <v>0.80210000000000004</v>
      </c>
      <c r="I18" s="4" t="s">
        <v>13</v>
      </c>
    </row>
    <row r="19" spans="1:9" x14ac:dyDescent="0.25">
      <c r="A19" s="2" t="s">
        <v>11</v>
      </c>
      <c r="B19" s="2">
        <v>32</v>
      </c>
      <c r="C19" s="2">
        <v>900</v>
      </c>
      <c r="D19" s="2">
        <f t="shared" si="0"/>
        <v>914.7</v>
      </c>
      <c r="E19" s="4">
        <f t="shared" si="1"/>
        <v>63.068565</v>
      </c>
      <c r="F19" s="5">
        <f t="shared" si="2"/>
        <v>6.3068565000000003</v>
      </c>
      <c r="G19" s="6">
        <v>188.47470000000001</v>
      </c>
      <c r="H19" s="6">
        <v>0.57979999999999998</v>
      </c>
      <c r="I19" s="4" t="s">
        <v>13</v>
      </c>
    </row>
    <row r="20" spans="1:9" x14ac:dyDescent="0.25">
      <c r="A20" s="2" t="s">
        <v>11</v>
      </c>
      <c r="B20" s="2">
        <v>32</v>
      </c>
      <c r="C20" s="2">
        <v>1500</v>
      </c>
      <c r="D20" s="2">
        <f t="shared" si="0"/>
        <v>1514.7</v>
      </c>
      <c r="E20" s="4">
        <f t="shared" si="1"/>
        <v>104.438565</v>
      </c>
      <c r="F20" s="5">
        <f t="shared" si="2"/>
        <v>10.443856500000001</v>
      </c>
      <c r="G20" s="6">
        <v>709.51559999999995</v>
      </c>
      <c r="H20" s="6">
        <v>0.25430000000000003</v>
      </c>
      <c r="I20" s="4" t="s">
        <v>14</v>
      </c>
    </row>
    <row r="21" spans="1:9" x14ac:dyDescent="0.25">
      <c r="A21" s="2" t="s">
        <v>15</v>
      </c>
      <c r="B21" s="2">
        <v>28</v>
      </c>
      <c r="C21" s="2">
        <v>1500</v>
      </c>
      <c r="D21" s="2">
        <f t="shared" si="0"/>
        <v>1514.7</v>
      </c>
      <c r="E21" s="4">
        <f t="shared" si="1"/>
        <v>104.438565</v>
      </c>
      <c r="F21" s="5">
        <f t="shared" si="2"/>
        <v>10.443856500000001</v>
      </c>
      <c r="G21" s="6">
        <v>117.5121</v>
      </c>
      <c r="H21" s="6">
        <v>0.99019999999999997</v>
      </c>
      <c r="I21" s="4" t="s">
        <v>14</v>
      </c>
    </row>
    <row r="22" spans="1:9" x14ac:dyDescent="0.25">
      <c r="A22" s="2" t="s">
        <v>16</v>
      </c>
      <c r="B22" s="2">
        <v>28</v>
      </c>
      <c r="C22" s="2">
        <v>116</v>
      </c>
      <c r="D22" s="2">
        <f t="shared" ref="D22:D27" si="3">C22+14.7</f>
        <v>130.69999999999999</v>
      </c>
      <c r="E22" s="4">
        <f t="shared" ref="E22:E27" si="4">D22/14.5038</f>
        <v>9.0114314869206691</v>
      </c>
      <c r="F22" s="5">
        <f t="shared" si="2"/>
        <v>0.90114314869206691</v>
      </c>
      <c r="G22" s="6">
        <v>49.884999999999998</v>
      </c>
      <c r="H22" s="6">
        <v>0.94599999999999995</v>
      </c>
      <c r="I22" s="4" t="s">
        <v>13</v>
      </c>
    </row>
    <row r="23" spans="1:9" x14ac:dyDescent="0.25">
      <c r="A23" s="2" t="s">
        <v>16</v>
      </c>
      <c r="B23" s="2">
        <v>28</v>
      </c>
      <c r="C23" s="2">
        <v>246</v>
      </c>
      <c r="D23" s="2">
        <f t="shared" si="3"/>
        <v>260.7</v>
      </c>
      <c r="E23" s="4">
        <f t="shared" si="4"/>
        <v>17.97459976006288</v>
      </c>
      <c r="F23" s="5">
        <f t="shared" si="2"/>
        <v>1.7974599760062882</v>
      </c>
      <c r="G23" s="6">
        <v>106.1506</v>
      </c>
      <c r="H23" s="6">
        <v>0.88919999999999999</v>
      </c>
      <c r="I23" s="4" t="s">
        <v>13</v>
      </c>
    </row>
    <row r="24" spans="1:9" x14ac:dyDescent="0.25">
      <c r="A24" s="2" t="s">
        <v>16</v>
      </c>
      <c r="B24" s="2">
        <v>28</v>
      </c>
      <c r="C24" s="2">
        <v>348</v>
      </c>
      <c r="D24" s="2">
        <f t="shared" si="3"/>
        <v>362.7</v>
      </c>
      <c r="E24" s="4">
        <f t="shared" si="4"/>
        <v>25.007239482066769</v>
      </c>
      <c r="F24" s="5">
        <f t="shared" si="2"/>
        <v>2.500723948206677</v>
      </c>
      <c r="G24" s="6">
        <v>155.6155</v>
      </c>
      <c r="H24" s="6">
        <v>0.84240000000000004</v>
      </c>
      <c r="I24" s="4" t="s">
        <v>13</v>
      </c>
    </row>
    <row r="25" spans="1:9" x14ac:dyDescent="0.25">
      <c r="A25" s="2" t="s">
        <v>16</v>
      </c>
      <c r="B25" s="2">
        <v>28</v>
      </c>
      <c r="C25" s="2">
        <v>450</v>
      </c>
      <c r="D25" s="2">
        <f t="shared" si="3"/>
        <v>464.7</v>
      </c>
      <c r="E25" s="4">
        <f t="shared" si="4"/>
        <v>32.039879204070658</v>
      </c>
      <c r="F25" s="5">
        <f t="shared" si="2"/>
        <v>3.2039879204070658</v>
      </c>
      <c r="G25" s="6">
        <v>211.64850000000001</v>
      </c>
      <c r="H25" s="6">
        <v>0.79279999999999995</v>
      </c>
      <c r="I25" s="4" t="s">
        <v>13</v>
      </c>
    </row>
    <row r="26" spans="1:9" x14ac:dyDescent="0.25">
      <c r="A26" s="2" t="s">
        <v>16</v>
      </c>
      <c r="B26" s="2">
        <v>28</v>
      </c>
      <c r="C26" s="2">
        <v>550</v>
      </c>
      <c r="D26" s="2">
        <f t="shared" si="3"/>
        <v>564.70000000000005</v>
      </c>
      <c r="E26" s="4">
        <f t="shared" si="4"/>
        <v>38.934624029564667</v>
      </c>
      <c r="F26" s="5">
        <f t="shared" si="2"/>
        <v>3.8934624029564668</v>
      </c>
      <c r="G26" s="6">
        <v>276.53210000000001</v>
      </c>
      <c r="H26" s="6">
        <v>0.73950000000000005</v>
      </c>
      <c r="I26" s="4" t="s">
        <v>13</v>
      </c>
    </row>
    <row r="27" spans="1:9" x14ac:dyDescent="0.25">
      <c r="A27" s="2" t="s">
        <v>16</v>
      </c>
      <c r="B27" s="2">
        <v>28</v>
      </c>
      <c r="C27" s="2">
        <v>650</v>
      </c>
      <c r="D27" s="2">
        <f t="shared" si="3"/>
        <v>664.7</v>
      </c>
      <c r="E27" s="4">
        <f t="shared" si="4"/>
        <v>45.829368855058675</v>
      </c>
      <c r="F27" s="5">
        <f t="shared" si="2"/>
        <v>4.5829368855058679</v>
      </c>
      <c r="G27" s="6">
        <v>354.10019999999997</v>
      </c>
      <c r="H27" s="6">
        <v>0.68120000000000003</v>
      </c>
      <c r="I27" s="4" t="s">
        <v>13</v>
      </c>
    </row>
    <row r="28" spans="1:9" x14ac:dyDescent="0.25">
      <c r="A28" s="2" t="s">
        <v>16</v>
      </c>
      <c r="B28" s="2">
        <v>28</v>
      </c>
      <c r="C28" s="2">
        <v>725</v>
      </c>
      <c r="D28" s="2">
        <f t="shared" ref="D28:D40" si="5">C28+14.7</f>
        <v>739.7</v>
      </c>
      <c r="E28" s="4">
        <f t="shared" ref="E28:E40" si="6">D28/14.5038</f>
        <v>51.000427474179183</v>
      </c>
      <c r="F28" s="5">
        <f t="shared" si="2"/>
        <v>5.1000427474179189</v>
      </c>
      <c r="G28" s="6">
        <v>421.04160000000002</v>
      </c>
      <c r="H28" s="6">
        <v>0.63519999999999999</v>
      </c>
      <c r="I28" s="4" t="s">
        <v>13</v>
      </c>
    </row>
    <row r="29" spans="1:9" x14ac:dyDescent="0.25">
      <c r="A29" s="2" t="s">
        <v>16</v>
      </c>
      <c r="B29" s="2">
        <v>28</v>
      </c>
      <c r="C29" s="2">
        <v>900</v>
      </c>
      <c r="D29" s="2">
        <f t="shared" si="5"/>
        <v>914.7</v>
      </c>
      <c r="E29" s="4">
        <f t="shared" si="6"/>
        <v>63.0662309187937</v>
      </c>
      <c r="F29" s="5">
        <f t="shared" si="2"/>
        <v>6.30662309187937</v>
      </c>
      <c r="G29" s="6">
        <v>664.28779999999995</v>
      </c>
      <c r="H29" s="6">
        <v>0.49730000000000002</v>
      </c>
      <c r="I29" s="4" t="s">
        <v>14</v>
      </c>
    </row>
    <row r="30" spans="1:9" x14ac:dyDescent="0.25">
      <c r="A30" s="2" t="s">
        <v>17</v>
      </c>
      <c r="B30" s="2">
        <v>28</v>
      </c>
      <c r="C30" s="2">
        <v>1500</v>
      </c>
      <c r="D30" s="2">
        <f t="shared" si="5"/>
        <v>1514.7</v>
      </c>
      <c r="E30" s="4">
        <f t="shared" si="6"/>
        <v>104.43469987175774</v>
      </c>
      <c r="F30" s="5">
        <f t="shared" si="2"/>
        <v>10.443469987175774</v>
      </c>
      <c r="G30" s="6">
        <v>108.68918417822</v>
      </c>
      <c r="H30" s="6">
        <v>0.87949999999999995</v>
      </c>
    </row>
    <row r="31" spans="1:9" x14ac:dyDescent="0.25">
      <c r="A31" s="2" t="s">
        <v>18</v>
      </c>
      <c r="B31" s="2">
        <v>28</v>
      </c>
      <c r="C31" s="2">
        <v>1500</v>
      </c>
      <c r="D31" s="2">
        <f t="shared" si="5"/>
        <v>1514.7</v>
      </c>
      <c r="E31" s="4">
        <f t="shared" si="6"/>
        <v>104.43469987175774</v>
      </c>
      <c r="F31" s="5">
        <f t="shared" si="2"/>
        <v>10.443469987175774</v>
      </c>
      <c r="G31" s="6">
        <v>52.7830901560271</v>
      </c>
      <c r="H31" s="6">
        <v>0.98480000000000001</v>
      </c>
    </row>
    <row r="32" spans="1:9" x14ac:dyDescent="0.25">
      <c r="A32" s="2" t="s">
        <v>17</v>
      </c>
      <c r="B32" s="2">
        <v>32</v>
      </c>
      <c r="C32" s="2">
        <v>1500</v>
      </c>
      <c r="D32" s="2">
        <f t="shared" ref="D32:D33" si="7">C32+14.7</f>
        <v>1514.7</v>
      </c>
      <c r="E32" s="4">
        <f t="shared" ref="E32:E33" si="8">D32/14.5038</f>
        <v>104.43469987175774</v>
      </c>
      <c r="F32" s="5">
        <f t="shared" si="2"/>
        <v>10.443469987175774</v>
      </c>
      <c r="G32" s="6">
        <v>106.43810000000001</v>
      </c>
      <c r="H32" s="6">
        <v>0.88629999999999998</v>
      </c>
    </row>
    <row r="33" spans="1:9" x14ac:dyDescent="0.25">
      <c r="A33" s="2" t="s">
        <v>18</v>
      </c>
      <c r="B33" s="2">
        <v>32</v>
      </c>
      <c r="C33" s="2">
        <v>1500</v>
      </c>
      <c r="D33" s="2">
        <f t="shared" si="7"/>
        <v>1514.7</v>
      </c>
      <c r="E33" s="4">
        <f t="shared" si="8"/>
        <v>104.43469987175774</v>
      </c>
      <c r="F33" s="5">
        <f t="shared" si="2"/>
        <v>10.443469987175774</v>
      </c>
      <c r="G33" s="6">
        <v>51.974600000000002</v>
      </c>
      <c r="H33" s="6">
        <v>0.98699999999999999</v>
      </c>
    </row>
    <row r="34" spans="1:9" x14ac:dyDescent="0.25">
      <c r="A34" s="2" t="s">
        <v>10</v>
      </c>
      <c r="B34" s="2">
        <v>20</v>
      </c>
      <c r="C34" s="2">
        <v>725</v>
      </c>
      <c r="D34" s="2">
        <f t="shared" si="5"/>
        <v>739.7</v>
      </c>
      <c r="E34" s="4">
        <f t="shared" si="6"/>
        <v>51.000427474179183</v>
      </c>
      <c r="F34" s="5">
        <f t="shared" si="2"/>
        <v>5.1000427474179189</v>
      </c>
      <c r="G34" s="6">
        <v>8.2866999999999997</v>
      </c>
      <c r="H34" s="6">
        <v>1.0101</v>
      </c>
      <c r="I34" s="4" t="s">
        <v>14</v>
      </c>
    </row>
    <row r="35" spans="1:9" x14ac:dyDescent="0.25">
      <c r="A35" s="2" t="s">
        <v>10</v>
      </c>
      <c r="B35" s="2">
        <v>20</v>
      </c>
      <c r="C35" s="2">
        <v>900</v>
      </c>
      <c r="D35" s="2">
        <f t="shared" si="5"/>
        <v>914.7</v>
      </c>
      <c r="E35" s="4">
        <f t="shared" si="6"/>
        <v>63.0662309187937</v>
      </c>
      <c r="F35" s="5">
        <f t="shared" si="2"/>
        <v>6.30662309187937</v>
      </c>
      <c r="G35" s="6">
        <v>10.2066</v>
      </c>
      <c r="H35" s="6">
        <v>1.0129999999999999</v>
      </c>
      <c r="I35" s="4" t="s">
        <v>14</v>
      </c>
    </row>
    <row r="36" spans="1:9" x14ac:dyDescent="0.25">
      <c r="A36" s="2" t="s">
        <v>16</v>
      </c>
      <c r="B36" s="2">
        <v>20</v>
      </c>
      <c r="C36" s="2">
        <v>725</v>
      </c>
      <c r="D36" s="2">
        <f t="shared" si="5"/>
        <v>739.7</v>
      </c>
      <c r="E36" s="4">
        <f t="shared" si="6"/>
        <v>51.000427474179183</v>
      </c>
      <c r="F36" s="5">
        <f t="shared" si="2"/>
        <v>5.1000427474179189</v>
      </c>
      <c r="G36" s="6">
        <v>471.17140000000001</v>
      </c>
      <c r="H36" s="6">
        <v>0.58309999999999995</v>
      </c>
      <c r="I36" s="2" t="s">
        <v>13</v>
      </c>
    </row>
    <row r="37" spans="1:9" x14ac:dyDescent="0.25">
      <c r="A37" s="2" t="s">
        <v>16</v>
      </c>
      <c r="B37" s="2">
        <v>20</v>
      </c>
      <c r="C37" s="2">
        <v>900</v>
      </c>
      <c r="D37" s="2">
        <f t="shared" si="5"/>
        <v>914.7</v>
      </c>
      <c r="E37" s="4">
        <f t="shared" si="6"/>
        <v>63.0662309187937</v>
      </c>
      <c r="F37" s="5">
        <f t="shared" si="2"/>
        <v>6.30662309187937</v>
      </c>
      <c r="G37" s="6">
        <v>1148.7</v>
      </c>
      <c r="H37" s="6">
        <v>0.2954</v>
      </c>
      <c r="I37" s="4" t="s">
        <v>14</v>
      </c>
    </row>
    <row r="38" spans="1:9" x14ac:dyDescent="0.25">
      <c r="A38" s="2" t="s">
        <v>11</v>
      </c>
      <c r="B38" s="2">
        <v>40</v>
      </c>
      <c r="C38" s="2">
        <v>1160</v>
      </c>
      <c r="D38" s="2">
        <f t="shared" si="5"/>
        <v>1174.7</v>
      </c>
      <c r="E38" s="4">
        <f t="shared" si="6"/>
        <v>80.992567465078125</v>
      </c>
      <c r="F38" s="5">
        <f>E38*0.1</f>
        <v>8.0992567465078125</v>
      </c>
      <c r="G38" s="2">
        <v>295.86799999999999</v>
      </c>
      <c r="H38" s="2">
        <v>0.46339999999999998</v>
      </c>
      <c r="I38" s="4" t="s">
        <v>14</v>
      </c>
    </row>
    <row r="39" spans="1:9" x14ac:dyDescent="0.25">
      <c r="A39" s="2" t="s">
        <v>15</v>
      </c>
      <c r="B39" s="2">
        <v>40</v>
      </c>
      <c r="C39" s="2">
        <v>1160</v>
      </c>
      <c r="D39" s="2">
        <f t="shared" si="5"/>
        <v>1174.7</v>
      </c>
      <c r="E39" s="4">
        <f t="shared" si="6"/>
        <v>80.992567465078125</v>
      </c>
      <c r="F39" s="5">
        <f t="shared" ref="F39:F40" si="9">E39*0.1</f>
        <v>8.0992567465078125</v>
      </c>
      <c r="G39" s="6">
        <v>87.733400000000003</v>
      </c>
      <c r="H39" s="6">
        <v>0.99339999999999995</v>
      </c>
      <c r="I39" s="4" t="s">
        <v>14</v>
      </c>
    </row>
    <row r="40" spans="1:9" x14ac:dyDescent="0.25">
      <c r="A40" s="2" t="s">
        <v>21</v>
      </c>
      <c r="B40" s="2">
        <v>40</v>
      </c>
      <c r="C40" s="2">
        <v>1160</v>
      </c>
      <c r="D40" s="2">
        <f t="shared" si="5"/>
        <v>1174.7</v>
      </c>
      <c r="E40" s="4">
        <f t="shared" si="6"/>
        <v>80.992567465078125</v>
      </c>
      <c r="F40" s="5">
        <f t="shared" si="9"/>
        <v>8.0992567465078125</v>
      </c>
      <c r="G40" s="2">
        <v>56.8795</v>
      </c>
      <c r="H40" s="2">
        <v>0.87729999999999997</v>
      </c>
      <c r="I40" s="4" t="s">
        <v>14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Ianna Gomez Mendez</dc:creator>
  <cp:lastModifiedBy>Gomez Mendez, Ianna</cp:lastModifiedBy>
  <dcterms:created xsi:type="dcterms:W3CDTF">2015-06-05T18:17:20Z</dcterms:created>
  <dcterms:modified xsi:type="dcterms:W3CDTF">2026-02-19T19:45:44Z</dcterms:modified>
</cp:coreProperties>
</file>